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WINSPIRE\CONFIDENTIAL\ITEMS NEEDED AT THE CENTRE\"/>
    </mc:Choice>
  </mc:AlternateContent>
  <xr:revisionPtr revIDLastSave="0" documentId="13_ncr:1_{3C2AD757-E29A-4D20-8B15-927CF800DF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ntory items needed-2026" sheetId="1" r:id="rId1"/>
    <sheet name="Science_LAB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" l="1"/>
  <c r="F52" i="1"/>
  <c r="F53" i="1"/>
  <c r="F20" i="1"/>
  <c r="F19" i="1"/>
  <c r="F17" i="1"/>
  <c r="C287" i="2"/>
  <c r="C286" i="2"/>
  <c r="C285" i="2"/>
  <c r="C284" i="2"/>
  <c r="D281" i="2"/>
  <c r="D221" i="2"/>
  <c r="D56" i="2"/>
  <c r="E61" i="1" l="1"/>
  <c r="F60" i="1"/>
  <c r="F59" i="1"/>
  <c r="F58" i="1"/>
  <c r="F55" i="1"/>
  <c r="F54" i="1"/>
  <c r="F48" i="1"/>
  <c r="F47" i="1"/>
  <c r="F46" i="1"/>
  <c r="F45" i="1"/>
  <c r="F44" i="1"/>
  <c r="F42" i="1"/>
  <c r="F40" i="1"/>
  <c r="F39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18" i="1"/>
  <c r="F16" i="1"/>
  <c r="F15" i="1"/>
  <c r="F13" i="1"/>
  <c r="F12" i="1"/>
  <c r="F11" i="1"/>
  <c r="F10" i="1"/>
  <c r="F9" i="1"/>
  <c r="F8" i="1"/>
  <c r="F7" i="1"/>
  <c r="F6" i="1"/>
  <c r="F5" i="1"/>
  <c r="F61" i="1" l="1"/>
</calcChain>
</file>

<file path=xl/sharedStrings.xml><?xml version="1.0" encoding="utf-8"?>
<sst xmlns="http://schemas.openxmlformats.org/spreadsheetml/2006/main" count="543" uniqueCount="353">
  <si>
    <t>No.</t>
  </si>
  <si>
    <t>ICT LAB</t>
  </si>
  <si>
    <t>wireless adaptors</t>
  </si>
  <si>
    <t>desktop</t>
  </si>
  <si>
    <t>Server computer</t>
  </si>
  <si>
    <t>Qty</t>
  </si>
  <si>
    <t>Power Regulator</t>
  </si>
  <si>
    <t>List</t>
  </si>
  <si>
    <t>Item</t>
  </si>
  <si>
    <t>Extension cables</t>
  </si>
  <si>
    <t>Projectors</t>
  </si>
  <si>
    <t>Softwares and systems installations</t>
  </si>
  <si>
    <t>Education softwares eg LMS</t>
  </si>
  <si>
    <t>Security tools eg anti virus and firewalls</t>
  </si>
  <si>
    <t>Furniture</t>
  </si>
  <si>
    <t>Tables</t>
  </si>
  <si>
    <t>chairs</t>
  </si>
  <si>
    <t>CLASSROOM</t>
  </si>
  <si>
    <t>Teachers desk</t>
  </si>
  <si>
    <t>Teachers chairs</t>
  </si>
  <si>
    <t>Learning resources</t>
  </si>
  <si>
    <t>display boards (2 per class)</t>
  </si>
  <si>
    <t>Waste Bins</t>
  </si>
  <si>
    <t>Fire extinguisher</t>
  </si>
  <si>
    <t>ADMINISTRATION</t>
  </si>
  <si>
    <t>Principal's Office</t>
  </si>
  <si>
    <t>visitors chairs</t>
  </si>
  <si>
    <t>Telephone for internal &amp; external communication</t>
  </si>
  <si>
    <t>notice board</t>
  </si>
  <si>
    <t>Reception</t>
  </si>
  <si>
    <t>coffee table</t>
  </si>
  <si>
    <t>Box File</t>
  </si>
  <si>
    <t>LIBRARY</t>
  </si>
  <si>
    <t>shelves</t>
  </si>
  <si>
    <t>tables</t>
  </si>
  <si>
    <t>SECURITY</t>
  </si>
  <si>
    <t>outside personel</t>
  </si>
  <si>
    <t>inside personel compound and other general cleanliness</t>
  </si>
  <si>
    <t>ladies washrooms and also general cleaning (a lady)</t>
  </si>
  <si>
    <t>Night security guard</t>
  </si>
  <si>
    <t>a screen (TV)</t>
  </si>
  <si>
    <t>First Aid kit</t>
  </si>
  <si>
    <t>Safety &amp; Emergency</t>
  </si>
  <si>
    <t>OTHERS</t>
  </si>
  <si>
    <t>Water dispensor</t>
  </si>
  <si>
    <t>curtains/blinds</t>
  </si>
  <si>
    <t>operating systems eg windows (installations)</t>
  </si>
  <si>
    <t>Estimated Unit Cost</t>
  </si>
  <si>
    <t>discussion</t>
  </si>
  <si>
    <t>Comment</t>
  </si>
  <si>
    <t>Amount covered for computer installations and softwares</t>
  </si>
  <si>
    <t>attached</t>
  </si>
  <si>
    <t>desk organizer</t>
  </si>
  <si>
    <t>office table</t>
  </si>
  <si>
    <t>office chair</t>
  </si>
  <si>
    <t>storage cabinet</t>
  </si>
  <si>
    <t>Storage cabinet</t>
  </si>
  <si>
    <t>This will be used for entire administration</t>
  </si>
  <si>
    <t>discusion</t>
  </si>
  <si>
    <t>Total Estimated Amt</t>
  </si>
  <si>
    <t>-</t>
  </si>
  <si>
    <t>OVERALL TOTAL</t>
  </si>
  <si>
    <t>PROPOSED LABORATORY ITEMS FOR WINSPIRE LEARNING HUB</t>
  </si>
  <si>
    <t>ITEM/ APPARATUS</t>
  </si>
  <si>
    <t>QUANTITY</t>
  </si>
  <si>
    <t>ESTIMATED UNIT PRICE</t>
  </si>
  <si>
    <t>PHYSICS</t>
  </si>
  <si>
    <t>Electric Kettle</t>
  </si>
  <si>
    <t>Optical pins</t>
  </si>
  <si>
    <t>2 pkts</t>
  </si>
  <si>
    <t>Soft boards</t>
  </si>
  <si>
    <t>Trolley/cart</t>
  </si>
  <si>
    <t>Ray box</t>
  </si>
  <si>
    <t>Semi circular glass blocks</t>
  </si>
  <si>
    <t>Glass blocks</t>
  </si>
  <si>
    <t>5 Ohm</t>
  </si>
  <si>
    <t>2 Ohm</t>
  </si>
  <si>
    <t>10 Ohm</t>
  </si>
  <si>
    <t>Retort stands</t>
  </si>
  <si>
    <t>Boss and Clamps</t>
  </si>
  <si>
    <t>10 set</t>
  </si>
  <si>
    <t>Pendulum bobs</t>
  </si>
  <si>
    <t>50g Slotted with Hanger</t>
  </si>
  <si>
    <t>100g Slotted with Hanger</t>
  </si>
  <si>
    <t>Crocodile clips</t>
  </si>
  <si>
    <t>Springs</t>
  </si>
  <si>
    <t>Micrometer Screw gauge</t>
  </si>
  <si>
    <t>Vanier calliper</t>
  </si>
  <si>
    <t>Electronic balance</t>
  </si>
  <si>
    <t>Lens holders</t>
  </si>
  <si>
    <t xml:space="preserve">Covex Lens </t>
  </si>
  <si>
    <t>Cross wires</t>
  </si>
  <si>
    <t>Spring balance 10N</t>
  </si>
  <si>
    <t>Knife Edges</t>
  </si>
  <si>
    <t>Wooden blocks</t>
  </si>
  <si>
    <t>Bar Magnets</t>
  </si>
  <si>
    <t>Constantane wires</t>
  </si>
  <si>
    <t>Thermometers</t>
  </si>
  <si>
    <t>Switches</t>
  </si>
  <si>
    <t>Doule cell holders</t>
  </si>
  <si>
    <t>Single cell holders</t>
  </si>
  <si>
    <t>Voltmeters</t>
  </si>
  <si>
    <t>Ammeter</t>
  </si>
  <si>
    <t>Digital multimeters</t>
  </si>
  <si>
    <t>Galvanometers</t>
  </si>
  <si>
    <t>Stop watches</t>
  </si>
  <si>
    <t>Plane Mirrors on wooden stand</t>
  </si>
  <si>
    <t>Rheostats</t>
  </si>
  <si>
    <t>1 Meter rules</t>
  </si>
  <si>
    <t>0.5 Meter rules</t>
  </si>
  <si>
    <t>First aid Kit</t>
  </si>
  <si>
    <t>100ml Measuring Cylinders( plastic)</t>
  </si>
  <si>
    <t>250ml Beakers plastic</t>
  </si>
  <si>
    <t>Screens</t>
  </si>
  <si>
    <t>Connecting wires</t>
  </si>
  <si>
    <t>1 roll</t>
  </si>
  <si>
    <t>Moddling clay</t>
  </si>
  <si>
    <t>1 kg</t>
  </si>
  <si>
    <t>Roll of threads</t>
  </si>
  <si>
    <t>1.5V Batteries</t>
  </si>
  <si>
    <t>2 boxes</t>
  </si>
  <si>
    <t>Tourch bulb</t>
  </si>
  <si>
    <t>Bulb holders</t>
  </si>
  <si>
    <t>CHEMISTRY</t>
  </si>
  <si>
    <t>Desicators</t>
  </si>
  <si>
    <t>Models-molecular</t>
  </si>
  <si>
    <t>1 set</t>
  </si>
  <si>
    <t>Test tube Racks</t>
  </si>
  <si>
    <t>Test tube holders</t>
  </si>
  <si>
    <t>Spatulas</t>
  </si>
  <si>
    <t>Forceps</t>
  </si>
  <si>
    <t>Pipettes Fillers</t>
  </si>
  <si>
    <t>Wash/ Squeeze bottles</t>
  </si>
  <si>
    <t>White tiles</t>
  </si>
  <si>
    <t>1 box</t>
  </si>
  <si>
    <t>Tripod stands</t>
  </si>
  <si>
    <t>Crucibles +lid</t>
  </si>
  <si>
    <t>Bunsen burners</t>
  </si>
  <si>
    <t>Wire gauze</t>
  </si>
  <si>
    <t>Filter funnels (glass)</t>
  </si>
  <si>
    <t>Separating Funnels</t>
  </si>
  <si>
    <t>Stirling rods</t>
  </si>
  <si>
    <t>Disposable gloves</t>
  </si>
  <si>
    <t>Protective Goggles</t>
  </si>
  <si>
    <t>Litmus papers</t>
  </si>
  <si>
    <t>Filter papers</t>
  </si>
  <si>
    <t>Universal indicator solution</t>
  </si>
  <si>
    <t>500 ML</t>
  </si>
  <si>
    <t>100ml Measuring Cylinders</t>
  </si>
  <si>
    <t>250ml Measuring Cylinders</t>
  </si>
  <si>
    <t>1 liter Measuring Cylinders</t>
  </si>
  <si>
    <t>50ml Measuring Cylinders</t>
  </si>
  <si>
    <t>10ml Measuring Cylinders</t>
  </si>
  <si>
    <t>Burettes -50ml-Glass</t>
  </si>
  <si>
    <t>25ml Pipettes</t>
  </si>
  <si>
    <t>Droppers</t>
  </si>
  <si>
    <t>Reagent Bottles</t>
  </si>
  <si>
    <t>Volumetric Flasks</t>
  </si>
  <si>
    <t>250ml plastic Beakers</t>
  </si>
  <si>
    <t>250ml glass Beakers</t>
  </si>
  <si>
    <t>500ml glass Beakers</t>
  </si>
  <si>
    <t>1000ml glass Beakers</t>
  </si>
  <si>
    <t>100ml glass Beakers</t>
  </si>
  <si>
    <t>50ml glass Beakers</t>
  </si>
  <si>
    <t>10ml glass Beakers</t>
  </si>
  <si>
    <t>250ml Conical Flasks</t>
  </si>
  <si>
    <t>Test tube washers</t>
  </si>
  <si>
    <t xml:space="preserve">13 kg gas cylinder </t>
  </si>
  <si>
    <t>Gas regulator and delivery tube</t>
  </si>
  <si>
    <t>Iron Fillings</t>
  </si>
  <si>
    <t>250 g</t>
  </si>
  <si>
    <t>Sulphur powder</t>
  </si>
  <si>
    <t>Sodium metal</t>
  </si>
  <si>
    <t>50 g</t>
  </si>
  <si>
    <t>Magnesium ribbon</t>
  </si>
  <si>
    <t>Potassium metal</t>
  </si>
  <si>
    <t>Zinc powder</t>
  </si>
  <si>
    <t>500 g</t>
  </si>
  <si>
    <t>Aluminum foil</t>
  </si>
  <si>
    <t>Copper turnings</t>
  </si>
  <si>
    <t>Calcium granules</t>
  </si>
  <si>
    <t>25 g</t>
  </si>
  <si>
    <t>Sodium nitrate</t>
  </si>
  <si>
    <t>Zinc nitrate</t>
  </si>
  <si>
    <t>Barium nitrate</t>
  </si>
  <si>
    <t>Aluminum nitrate</t>
  </si>
  <si>
    <t>Lead II nitrate</t>
  </si>
  <si>
    <t>Copper II nitrate</t>
  </si>
  <si>
    <t>Silver nitrate</t>
  </si>
  <si>
    <t>Potssium nitrate</t>
  </si>
  <si>
    <t>Potssium bromide</t>
  </si>
  <si>
    <t>Sodium bromide</t>
  </si>
  <si>
    <t>Sodium Iodide</t>
  </si>
  <si>
    <t>100 g</t>
  </si>
  <si>
    <t>Potassium iodate</t>
  </si>
  <si>
    <t>Potassium bromates</t>
  </si>
  <si>
    <t>Sodium Chloride</t>
  </si>
  <si>
    <t>Zinc Chloride</t>
  </si>
  <si>
    <t>Iron III Chloride</t>
  </si>
  <si>
    <t>Chromium III Chloride</t>
  </si>
  <si>
    <t>Copper II Chloride</t>
  </si>
  <si>
    <t>Manganese Chloride</t>
  </si>
  <si>
    <t>Magnesium Chloride</t>
  </si>
  <si>
    <t>Lead II Chloride</t>
  </si>
  <si>
    <t>Potassium Chlorate</t>
  </si>
  <si>
    <t>Potassium Chloride</t>
  </si>
  <si>
    <t>Barium Chloride</t>
  </si>
  <si>
    <t>Calcium Chloride</t>
  </si>
  <si>
    <t>Ammonium Chloride</t>
  </si>
  <si>
    <t>Potassium bromide</t>
  </si>
  <si>
    <t>Calcium Oxide</t>
  </si>
  <si>
    <t>Copper II Oxide</t>
  </si>
  <si>
    <t>Silicon dioxide</t>
  </si>
  <si>
    <t>Manganese IV Oxide</t>
  </si>
  <si>
    <t>Sodium Hydroxide</t>
  </si>
  <si>
    <t>Potassium hydroxide</t>
  </si>
  <si>
    <t>Calcium hydroxide</t>
  </si>
  <si>
    <t>Barium hydroxide</t>
  </si>
  <si>
    <t>Lithium carbonates</t>
  </si>
  <si>
    <t>Zinc Carbonates</t>
  </si>
  <si>
    <t>Calcium carbonates/Mable chips</t>
  </si>
  <si>
    <t>Sodium carbonate pent hydrate</t>
  </si>
  <si>
    <t>Sodium carbonate -10 -water</t>
  </si>
  <si>
    <t>Manganese carbonate</t>
  </si>
  <si>
    <t>Magnesium carbonate</t>
  </si>
  <si>
    <t>100  g</t>
  </si>
  <si>
    <t>Magnesium carbonate-heavy</t>
  </si>
  <si>
    <t>Lead II carbonate</t>
  </si>
  <si>
    <t>500  g</t>
  </si>
  <si>
    <t>Potassium carbonate(hydrated)</t>
  </si>
  <si>
    <t>500g</t>
  </si>
  <si>
    <t>Sodium carbonate (anhydrous)</t>
  </si>
  <si>
    <t>Calcium carbonate</t>
  </si>
  <si>
    <t>Copper II carbonate</t>
  </si>
  <si>
    <t>Potassium carbonate (anhydrous)</t>
  </si>
  <si>
    <t>Potassium hydrogen carbonate</t>
  </si>
  <si>
    <t>Ammonium carbonate</t>
  </si>
  <si>
    <t>Potassium hydrogen phosphate</t>
  </si>
  <si>
    <t>Hydrogen Peroxide</t>
  </si>
  <si>
    <t>2.5 liters</t>
  </si>
  <si>
    <t>Potassium dichromate</t>
  </si>
  <si>
    <t>Potassium Chromate</t>
  </si>
  <si>
    <t>Ammonium thiocyanate</t>
  </si>
  <si>
    <t>Potassium permanganate</t>
  </si>
  <si>
    <t>Borax-5-Water</t>
  </si>
  <si>
    <t>Hydrochloric Acid 35.8%</t>
  </si>
  <si>
    <t>Sulfuric Acid</t>
  </si>
  <si>
    <t>Nitric Acid</t>
  </si>
  <si>
    <t>1-propanol</t>
  </si>
  <si>
    <t>Phenol</t>
  </si>
  <si>
    <t>Formic acid/Methanoic</t>
  </si>
  <si>
    <t>Methanol</t>
  </si>
  <si>
    <t>1 liter</t>
  </si>
  <si>
    <t>Cyclohexane</t>
  </si>
  <si>
    <t>Ethanol</t>
  </si>
  <si>
    <t>Propan-2-ol</t>
  </si>
  <si>
    <t>Ammonia solution</t>
  </si>
  <si>
    <t>Butanone</t>
  </si>
  <si>
    <t>2.5 g</t>
  </si>
  <si>
    <t>Ethanoic acid/ Acetic acid</t>
  </si>
  <si>
    <t>Bromine</t>
  </si>
  <si>
    <t>500 ml</t>
  </si>
  <si>
    <t>Acetaldehyde</t>
  </si>
  <si>
    <t>1 litre</t>
  </si>
  <si>
    <t>Benedicts solution</t>
  </si>
  <si>
    <t>Chromium III potassium sulfate</t>
  </si>
  <si>
    <t>Zinc sulfate</t>
  </si>
  <si>
    <t>Sodium sulfate</t>
  </si>
  <si>
    <t>Iron III sulfide</t>
  </si>
  <si>
    <t>Aluminum sulfate</t>
  </si>
  <si>
    <t>Ammonium Sulfate</t>
  </si>
  <si>
    <t>Chromium sulfate</t>
  </si>
  <si>
    <t>Manganese Sulfate</t>
  </si>
  <si>
    <t>Potassium sulfate</t>
  </si>
  <si>
    <t>Sodium thiosulfate</t>
  </si>
  <si>
    <t>Sodium persulfate</t>
  </si>
  <si>
    <t>Aluminum Potassium Sulfate</t>
  </si>
  <si>
    <t>Ammonium ferrous sulfate</t>
  </si>
  <si>
    <t>Iron II sulfate</t>
  </si>
  <si>
    <t>Sodium metasulfite</t>
  </si>
  <si>
    <t>Sodium sulfite</t>
  </si>
  <si>
    <t>Sodium hydrogen sulfate</t>
  </si>
  <si>
    <t>Sodium sulfite-anhydrous</t>
  </si>
  <si>
    <t>Magnesium Sulfate</t>
  </si>
  <si>
    <t>Copper II sulfate- anhydrous</t>
  </si>
  <si>
    <t>Copper II Sulfate-hydrated</t>
  </si>
  <si>
    <t>Bromophenol blue</t>
  </si>
  <si>
    <t>Methyl Orange</t>
  </si>
  <si>
    <t>Methylene blue</t>
  </si>
  <si>
    <t>50  g</t>
  </si>
  <si>
    <t>Bicarbonate indicator</t>
  </si>
  <si>
    <t>Thymolphthalein indicator</t>
  </si>
  <si>
    <t>Phenolphthalein indicator</t>
  </si>
  <si>
    <t>Bromol thymol blue</t>
  </si>
  <si>
    <t>5 g</t>
  </si>
  <si>
    <t>Litmus Solution</t>
  </si>
  <si>
    <t>100 ml</t>
  </si>
  <si>
    <t>Brady’s reagent</t>
  </si>
  <si>
    <t>EOSIN</t>
  </si>
  <si>
    <t>BIOLOGY</t>
  </si>
  <si>
    <t>Water bath-controlled</t>
  </si>
  <si>
    <t>1 pkt</t>
  </si>
  <si>
    <t>Knives</t>
  </si>
  <si>
    <t>Blender</t>
  </si>
  <si>
    <t>Electric Microscopes</t>
  </si>
  <si>
    <t>Stage Micrometers</t>
  </si>
  <si>
    <t>Filter funnels</t>
  </si>
  <si>
    <t>Mortar and Pestle</t>
  </si>
  <si>
    <t>Spotting Tiles</t>
  </si>
  <si>
    <t>Hand lenses</t>
  </si>
  <si>
    <t>Petri dishes</t>
  </si>
  <si>
    <t>Microscope slides</t>
  </si>
  <si>
    <t>Labels</t>
  </si>
  <si>
    <t>Agar</t>
  </si>
  <si>
    <t>Starch</t>
  </si>
  <si>
    <t>Sucrose</t>
  </si>
  <si>
    <t>Egg Albumen</t>
  </si>
  <si>
    <t>Citric Acid</t>
  </si>
  <si>
    <t>Ascorbic acid</t>
  </si>
  <si>
    <t>Glucose</t>
  </si>
  <si>
    <t>Sodium Citrate</t>
  </si>
  <si>
    <t>Pectolase</t>
  </si>
  <si>
    <t>Amylase</t>
  </si>
  <si>
    <t>Pepsin</t>
  </si>
  <si>
    <t>Yeast</t>
  </si>
  <si>
    <t>Dcpip</t>
  </si>
  <si>
    <t>SUB/No.</t>
  </si>
  <si>
    <t>TOTAL</t>
  </si>
  <si>
    <t>SUMMARY</t>
  </si>
  <si>
    <t>Physics</t>
  </si>
  <si>
    <t>Chemistry</t>
  </si>
  <si>
    <t>Biology</t>
  </si>
  <si>
    <t>OVERALL AMOUNT</t>
  </si>
  <si>
    <t>Item specifics</t>
  </si>
  <si>
    <t>SCIENCE LAB</t>
  </si>
  <si>
    <t>Attached-proposed laboratory item (sheet name Science LAB)</t>
  </si>
  <si>
    <t>Textbooks (attached list ARISTOC Book Store)</t>
  </si>
  <si>
    <t>Textbooks (all subjects)-refer to the attached list-ARISTOC</t>
  </si>
  <si>
    <t>AMOUNT (UGX)</t>
  </si>
  <si>
    <t>Overall Est. Amount</t>
  </si>
  <si>
    <t>Total Estimate Unit cost</t>
  </si>
  <si>
    <t>PROPOSED LIST OF ITEMS NEEDED AT WINSPIRE LEARNING HUB STARTING ON 10/02/2026</t>
  </si>
  <si>
    <t>Stephen can advise</t>
  </si>
  <si>
    <t>Emergency stationery supplies (pens)</t>
  </si>
  <si>
    <t>two boxes of pens</t>
  </si>
  <si>
    <t>Student Chairs (@ each class room)</t>
  </si>
  <si>
    <t>white board (1 for each class with movable stands)</t>
  </si>
  <si>
    <t>wall fan</t>
  </si>
  <si>
    <t>visitors waiting seat (3 seater)</t>
  </si>
  <si>
    <t>Text Books</t>
  </si>
  <si>
    <t>two books for each subject</t>
  </si>
  <si>
    <t>To contact security company</t>
  </si>
  <si>
    <t>There's a boy who was working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</si>
</sst>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Tahoma"/>
      <family val="2"/>
    </font>
    <font>
      <sz val="10"/>
      <color rgb="FF000000"/>
      <name val="Cambria"/>
      <family val="1"/>
    </font>
    <font>
      <sz val="10"/>
      <name val="Cambria"/>
      <family val="1"/>
    </font>
    <font>
      <i/>
      <sz val="9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5F0F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3" fillId="0" borderId="1" xfId="0" applyFont="1" applyBorder="1"/>
    <xf numFmtId="41" fontId="3" fillId="0" borderId="1" xfId="1" applyFont="1" applyBorder="1"/>
    <xf numFmtId="0" fontId="3" fillId="0" borderId="0" xfId="0" applyFont="1"/>
    <xf numFmtId="0" fontId="3" fillId="2" borderId="1" xfId="0" applyFont="1" applyFill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3" borderId="1" xfId="0" applyFont="1" applyFill="1" applyBorder="1"/>
    <xf numFmtId="41" fontId="2" fillId="3" borderId="1" xfId="0" applyNumberFormat="1" applyFont="1" applyFill="1" applyBorder="1"/>
    <xf numFmtId="0" fontId="2" fillId="3" borderId="1" xfId="0" applyFont="1" applyFill="1" applyBorder="1"/>
    <xf numFmtId="0" fontId="2" fillId="3" borderId="0" xfId="0" applyFont="1" applyFill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1" xfId="0" applyFont="1" applyBorder="1"/>
    <xf numFmtId="41" fontId="3" fillId="0" borderId="6" xfId="1" applyFont="1" applyBorder="1" applyAlignment="1">
      <alignment vertical="center"/>
    </xf>
    <xf numFmtId="41" fontId="3" fillId="0" borderId="0" xfId="1" applyFont="1" applyBorder="1" applyAlignment="1">
      <alignment vertical="center"/>
    </xf>
    <xf numFmtId="41" fontId="3" fillId="0" borderId="5" xfId="1" applyFont="1" applyBorder="1" applyAlignment="1">
      <alignment vertical="center"/>
    </xf>
    <xf numFmtId="41" fontId="2" fillId="0" borderId="0" xfId="1" applyFont="1" applyAlignment="1">
      <alignment vertical="center"/>
    </xf>
    <xf numFmtId="41" fontId="2" fillId="3" borderId="5" xfId="1" applyFont="1" applyFill="1" applyBorder="1" applyAlignment="1">
      <alignment horizontal="center" vertical="center"/>
    </xf>
    <xf numFmtId="41" fontId="3" fillId="0" borderId="0" xfId="1" applyFont="1" applyAlignment="1">
      <alignment vertical="center"/>
    </xf>
    <xf numFmtId="0" fontId="7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4" borderId="5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6">
    <dxf>
      <fill>
        <patternFill>
          <bgColor rgb="FFFFFFFF"/>
        </patternFill>
      </fill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mruColors>
      <color rgb="FFFFFFFF"/>
      <color rgb="FFF2F2F2"/>
      <color rgb="FFE5F0FC"/>
      <color rgb="FFC7EBF5"/>
      <color rgb="FFDCF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tabSelected="1" workbookViewId="0">
      <selection activeCell="C18" sqref="C18"/>
    </sheetView>
  </sheetViews>
  <sheetFormatPr defaultRowHeight="13.2" x14ac:dyDescent="0.25"/>
  <cols>
    <col min="1" max="1" width="8.88671875" style="5"/>
    <col min="2" max="2" width="29.6640625" style="5" customWidth="1"/>
    <col min="3" max="3" width="55.6640625" style="5" bestFit="1" customWidth="1"/>
    <col min="4" max="4" width="8.88671875" style="5"/>
    <col min="5" max="5" width="20.6640625" style="5" bestFit="1" customWidth="1"/>
    <col min="6" max="6" width="18.5546875" style="5" customWidth="1"/>
    <col min="7" max="7" width="48.21875" style="5" bestFit="1" customWidth="1"/>
    <col min="8" max="16384" width="8.88671875" style="5"/>
  </cols>
  <sheetData>
    <row r="1" spans="1:7" ht="14.4" customHeight="1" x14ac:dyDescent="0.25">
      <c r="A1" s="35" t="s">
        <v>341</v>
      </c>
      <c r="B1" s="35"/>
      <c r="C1" s="35"/>
      <c r="D1" s="35"/>
      <c r="E1" s="35"/>
      <c r="F1" s="35"/>
      <c r="G1" s="35"/>
    </row>
    <row r="2" spans="1:7" x14ac:dyDescent="0.25">
      <c r="A2" s="35"/>
      <c r="B2" s="35"/>
      <c r="C2" s="35"/>
      <c r="D2" s="35"/>
      <c r="E2" s="35"/>
      <c r="F2" s="35"/>
      <c r="G2" s="35"/>
    </row>
    <row r="3" spans="1:7" x14ac:dyDescent="0.25">
      <c r="A3" s="36" t="s">
        <v>7</v>
      </c>
      <c r="B3" s="36"/>
      <c r="C3" s="36"/>
      <c r="D3" s="36"/>
      <c r="E3" s="36"/>
      <c r="F3" s="36"/>
      <c r="G3" s="36"/>
    </row>
    <row r="4" spans="1:7" s="1" customFormat="1" x14ac:dyDescent="0.25">
      <c r="A4" s="21" t="s">
        <v>0</v>
      </c>
      <c r="B4" s="21" t="s">
        <v>8</v>
      </c>
      <c r="C4" s="21" t="s">
        <v>333</v>
      </c>
      <c r="D4" s="21" t="s">
        <v>5</v>
      </c>
      <c r="E4" s="21" t="s">
        <v>47</v>
      </c>
      <c r="F4" s="21" t="s">
        <v>59</v>
      </c>
      <c r="G4" s="21" t="s">
        <v>49</v>
      </c>
    </row>
    <row r="5" spans="1:7" x14ac:dyDescent="0.25">
      <c r="A5" s="2">
        <v>1</v>
      </c>
      <c r="B5" s="2" t="s">
        <v>1</v>
      </c>
      <c r="C5" s="3" t="s">
        <v>4</v>
      </c>
      <c r="D5" s="3">
        <v>1</v>
      </c>
      <c r="E5" s="4">
        <v>750000</v>
      </c>
      <c r="F5" s="4">
        <f>PRODUCT(D5:E5)</f>
        <v>750000</v>
      </c>
      <c r="G5" s="3"/>
    </row>
    <row r="6" spans="1:7" x14ac:dyDescent="0.25">
      <c r="A6" s="3"/>
      <c r="B6" s="3"/>
      <c r="C6" s="3" t="s">
        <v>2</v>
      </c>
      <c r="D6" s="3">
        <v>6</v>
      </c>
      <c r="E6" s="4">
        <v>30000</v>
      </c>
      <c r="F6" s="4">
        <f t="shared" ref="F6:F60" si="0">PRODUCT(D6:E6)</f>
        <v>180000</v>
      </c>
      <c r="G6" s="3"/>
    </row>
    <row r="7" spans="1:7" x14ac:dyDescent="0.25">
      <c r="A7" s="3"/>
      <c r="B7" s="3"/>
      <c r="C7" s="3" t="s">
        <v>3</v>
      </c>
      <c r="D7" s="3">
        <v>5</v>
      </c>
      <c r="E7" s="4">
        <v>750000</v>
      </c>
      <c r="F7" s="4">
        <f t="shared" si="0"/>
        <v>3750000</v>
      </c>
      <c r="G7" s="3"/>
    </row>
    <row r="8" spans="1:7" x14ac:dyDescent="0.25">
      <c r="A8" s="3"/>
      <c r="B8" s="3"/>
      <c r="C8" s="3" t="s">
        <v>9</v>
      </c>
      <c r="D8" s="3">
        <v>5</v>
      </c>
      <c r="E8" s="4">
        <v>40000</v>
      </c>
      <c r="F8" s="4">
        <f t="shared" si="0"/>
        <v>200000</v>
      </c>
      <c r="G8" s="3"/>
    </row>
    <row r="9" spans="1:7" x14ac:dyDescent="0.25">
      <c r="A9" s="3"/>
      <c r="B9" s="3"/>
      <c r="C9" s="3" t="s">
        <v>6</v>
      </c>
      <c r="D9" s="3">
        <v>1</v>
      </c>
      <c r="E9" s="4">
        <v>750000</v>
      </c>
      <c r="F9" s="4">
        <f t="shared" si="0"/>
        <v>750000</v>
      </c>
      <c r="G9" s="3"/>
    </row>
    <row r="10" spans="1:7" x14ac:dyDescent="0.25">
      <c r="A10" s="3"/>
      <c r="B10" s="3"/>
      <c r="C10" s="3" t="s">
        <v>10</v>
      </c>
      <c r="D10" s="3">
        <v>3</v>
      </c>
      <c r="E10" s="4">
        <v>750000</v>
      </c>
      <c r="F10" s="4">
        <f t="shared" si="0"/>
        <v>2250000</v>
      </c>
      <c r="G10" s="3"/>
    </row>
    <row r="11" spans="1:7" x14ac:dyDescent="0.25">
      <c r="A11" s="3"/>
      <c r="B11" s="3" t="s">
        <v>11</v>
      </c>
      <c r="C11" s="3" t="s">
        <v>46</v>
      </c>
      <c r="D11" s="3"/>
      <c r="E11" s="4"/>
      <c r="F11" s="4">
        <f t="shared" si="0"/>
        <v>0</v>
      </c>
      <c r="G11" s="3"/>
    </row>
    <row r="12" spans="1:7" x14ac:dyDescent="0.25">
      <c r="A12" s="3"/>
      <c r="B12" s="3"/>
      <c r="C12" s="3" t="s">
        <v>12</v>
      </c>
      <c r="D12" s="3"/>
      <c r="E12" s="4"/>
      <c r="F12" s="4">
        <f t="shared" si="0"/>
        <v>0</v>
      </c>
      <c r="G12" s="3"/>
    </row>
    <row r="13" spans="1:7" x14ac:dyDescent="0.25">
      <c r="A13" s="3"/>
      <c r="B13" s="3"/>
      <c r="C13" s="3" t="s">
        <v>13</v>
      </c>
      <c r="D13" s="3"/>
      <c r="E13" s="4">
        <v>200000</v>
      </c>
      <c r="F13" s="4">
        <f t="shared" si="0"/>
        <v>200000</v>
      </c>
      <c r="G13" s="3" t="s">
        <v>50</v>
      </c>
    </row>
    <row r="14" spans="1:7" x14ac:dyDescent="0.25">
      <c r="A14" s="3"/>
      <c r="B14" s="3" t="s">
        <v>14</v>
      </c>
      <c r="C14" s="3" t="s">
        <v>15</v>
      </c>
      <c r="D14" s="3">
        <v>2</v>
      </c>
      <c r="E14" s="4"/>
      <c r="F14" s="4" t="s">
        <v>60</v>
      </c>
      <c r="G14" s="3" t="s">
        <v>48</v>
      </c>
    </row>
    <row r="15" spans="1:7" x14ac:dyDescent="0.25">
      <c r="A15" s="3"/>
      <c r="B15" s="3"/>
      <c r="C15" s="3" t="s">
        <v>16</v>
      </c>
      <c r="D15" s="3">
        <v>6</v>
      </c>
      <c r="E15" s="4">
        <v>180000</v>
      </c>
      <c r="F15" s="4">
        <f t="shared" si="0"/>
        <v>1080000</v>
      </c>
      <c r="G15" s="3"/>
    </row>
    <row r="16" spans="1:7" x14ac:dyDescent="0.25">
      <c r="A16" s="3"/>
      <c r="B16" s="3"/>
      <c r="C16" s="3"/>
      <c r="D16" s="3"/>
      <c r="E16" s="4"/>
      <c r="F16" s="4">
        <f t="shared" si="0"/>
        <v>0</v>
      </c>
      <c r="G16" s="3"/>
    </row>
    <row r="17" spans="1:7" x14ac:dyDescent="0.25">
      <c r="A17" s="2">
        <v>2</v>
      </c>
      <c r="B17" s="2" t="s">
        <v>17</v>
      </c>
      <c r="C17" s="3" t="s">
        <v>345</v>
      </c>
      <c r="D17" s="3">
        <v>15</v>
      </c>
      <c r="E17" s="4">
        <v>180000</v>
      </c>
      <c r="F17" s="4">
        <f>PRODUCT(D17:E17)</f>
        <v>2700000</v>
      </c>
      <c r="G17" s="3" t="s">
        <v>48</v>
      </c>
    </row>
    <row r="18" spans="1:7" x14ac:dyDescent="0.25">
      <c r="A18" s="3"/>
      <c r="B18" s="3"/>
      <c r="C18" s="3" t="s">
        <v>346</v>
      </c>
      <c r="D18" s="3">
        <v>5</v>
      </c>
      <c r="E18" s="4">
        <v>360000</v>
      </c>
      <c r="F18" s="4">
        <f t="shared" si="0"/>
        <v>1800000</v>
      </c>
      <c r="G18" s="3" t="s">
        <v>342</v>
      </c>
    </row>
    <row r="19" spans="1:7" x14ac:dyDescent="0.25">
      <c r="A19" s="3"/>
      <c r="B19" s="3"/>
      <c r="C19" s="3" t="s">
        <v>18</v>
      </c>
      <c r="D19" s="3">
        <v>5</v>
      </c>
      <c r="E19" s="4">
        <v>170000</v>
      </c>
      <c r="F19" s="4">
        <f>PRODUCT(D19:E19)</f>
        <v>850000</v>
      </c>
      <c r="G19" s="3" t="s">
        <v>48</v>
      </c>
    </row>
    <row r="20" spans="1:7" x14ac:dyDescent="0.25">
      <c r="A20" s="3"/>
      <c r="B20" s="3"/>
      <c r="C20" s="3" t="s">
        <v>19</v>
      </c>
      <c r="D20" s="3">
        <v>5</v>
      </c>
      <c r="E20" s="4">
        <v>150000</v>
      </c>
      <c r="F20" s="4">
        <f>PRODUCT(D20:E20)</f>
        <v>750000</v>
      </c>
      <c r="G20" s="3" t="s">
        <v>48</v>
      </c>
    </row>
    <row r="21" spans="1:7" x14ac:dyDescent="0.25">
      <c r="A21" s="3"/>
      <c r="B21" s="3" t="s">
        <v>20</v>
      </c>
      <c r="C21" s="24" t="s">
        <v>337</v>
      </c>
      <c r="D21" s="3"/>
      <c r="E21" s="4"/>
      <c r="F21" s="4">
        <f t="shared" si="0"/>
        <v>0</v>
      </c>
      <c r="G21" s="3" t="s">
        <v>51</v>
      </c>
    </row>
    <row r="22" spans="1:7" x14ac:dyDescent="0.25">
      <c r="A22" s="3"/>
      <c r="B22" s="3"/>
      <c r="C22" s="3" t="s">
        <v>343</v>
      </c>
      <c r="D22" s="3">
        <v>2</v>
      </c>
      <c r="E22" s="4">
        <v>45000</v>
      </c>
      <c r="F22" s="4">
        <f t="shared" si="0"/>
        <v>90000</v>
      </c>
      <c r="G22" s="3" t="s">
        <v>344</v>
      </c>
    </row>
    <row r="23" spans="1:7" x14ac:dyDescent="0.25">
      <c r="A23" s="3"/>
      <c r="B23" s="3"/>
      <c r="C23" s="3" t="s">
        <v>21</v>
      </c>
      <c r="D23" s="3"/>
      <c r="E23" s="4"/>
      <c r="F23" s="4">
        <f t="shared" si="0"/>
        <v>0</v>
      </c>
      <c r="G23" s="3" t="s">
        <v>48</v>
      </c>
    </row>
    <row r="24" spans="1:7" x14ac:dyDescent="0.25">
      <c r="A24" s="3"/>
      <c r="B24" s="3"/>
      <c r="C24" s="3"/>
      <c r="D24" s="3"/>
      <c r="E24" s="4"/>
      <c r="F24" s="4">
        <f t="shared" si="0"/>
        <v>0</v>
      </c>
      <c r="G24" s="3"/>
    </row>
    <row r="25" spans="1:7" x14ac:dyDescent="0.25">
      <c r="A25" s="3"/>
      <c r="B25" s="3"/>
      <c r="C25" s="3" t="s">
        <v>22</v>
      </c>
      <c r="D25" s="3">
        <v>5</v>
      </c>
      <c r="E25" s="4">
        <v>62000</v>
      </c>
      <c r="F25" s="4">
        <f t="shared" si="0"/>
        <v>310000</v>
      </c>
      <c r="G25" s="3"/>
    </row>
    <row r="26" spans="1:7" x14ac:dyDescent="0.25">
      <c r="A26" s="3"/>
      <c r="B26" s="3" t="s">
        <v>42</v>
      </c>
      <c r="C26" s="3" t="s">
        <v>23</v>
      </c>
      <c r="D26" s="3">
        <v>2</v>
      </c>
      <c r="E26" s="4">
        <v>140000</v>
      </c>
      <c r="F26" s="4">
        <f t="shared" si="0"/>
        <v>280000</v>
      </c>
      <c r="G26" s="3"/>
    </row>
    <row r="27" spans="1:7" x14ac:dyDescent="0.25">
      <c r="A27" s="3"/>
      <c r="B27" s="3"/>
      <c r="C27" s="3" t="s">
        <v>41</v>
      </c>
      <c r="D27" s="3">
        <v>1</v>
      </c>
      <c r="E27" s="4">
        <v>150000</v>
      </c>
      <c r="F27" s="4">
        <f t="shared" si="0"/>
        <v>150000</v>
      </c>
      <c r="G27" s="3"/>
    </row>
    <row r="28" spans="1:7" x14ac:dyDescent="0.25">
      <c r="A28" s="3"/>
      <c r="B28" s="3"/>
      <c r="C28" s="3"/>
      <c r="D28" s="3"/>
      <c r="E28" s="4"/>
      <c r="F28" s="4">
        <f t="shared" si="0"/>
        <v>0</v>
      </c>
      <c r="G28" s="3"/>
    </row>
    <row r="29" spans="1:7" x14ac:dyDescent="0.25">
      <c r="A29" s="6">
        <v>3</v>
      </c>
      <c r="B29" s="2" t="s">
        <v>24</v>
      </c>
      <c r="C29" s="3"/>
      <c r="D29" s="3"/>
      <c r="E29" s="4"/>
      <c r="F29" s="4">
        <f t="shared" si="0"/>
        <v>0</v>
      </c>
      <c r="G29" s="3"/>
    </row>
    <row r="30" spans="1:7" x14ac:dyDescent="0.25">
      <c r="A30" s="3"/>
      <c r="B30" s="3" t="s">
        <v>25</v>
      </c>
      <c r="C30" s="3" t="s">
        <v>53</v>
      </c>
      <c r="D30" s="3">
        <v>1</v>
      </c>
      <c r="E30" s="4">
        <v>500000</v>
      </c>
      <c r="F30" s="4">
        <f t="shared" si="0"/>
        <v>500000</v>
      </c>
      <c r="G30" s="3"/>
    </row>
    <row r="31" spans="1:7" x14ac:dyDescent="0.25">
      <c r="A31" s="3"/>
      <c r="B31" s="3"/>
      <c r="C31" s="3" t="s">
        <v>54</v>
      </c>
      <c r="D31" s="3">
        <v>1</v>
      </c>
      <c r="E31" s="4">
        <v>380000</v>
      </c>
      <c r="F31" s="4">
        <f t="shared" si="0"/>
        <v>380000</v>
      </c>
      <c r="G31" s="3"/>
    </row>
    <row r="32" spans="1:7" x14ac:dyDescent="0.25">
      <c r="A32" s="3"/>
      <c r="B32" s="3"/>
      <c r="C32" s="3" t="s">
        <v>26</v>
      </c>
      <c r="D32" s="3">
        <v>2</v>
      </c>
      <c r="E32" s="4">
        <v>280000</v>
      </c>
      <c r="F32" s="4">
        <f t="shared" si="0"/>
        <v>560000</v>
      </c>
      <c r="G32" s="3"/>
    </row>
    <row r="33" spans="1:7" x14ac:dyDescent="0.25">
      <c r="A33" s="3"/>
      <c r="B33" s="3"/>
      <c r="C33" s="3" t="s">
        <v>56</v>
      </c>
      <c r="D33" s="3">
        <v>1</v>
      </c>
      <c r="E33" s="4">
        <v>1500000</v>
      </c>
      <c r="F33" s="4">
        <f t="shared" si="0"/>
        <v>1500000</v>
      </c>
      <c r="G33" s="3"/>
    </row>
    <row r="34" spans="1:7" x14ac:dyDescent="0.25">
      <c r="A34" s="3"/>
      <c r="B34" s="3"/>
      <c r="C34" s="3" t="s">
        <v>28</v>
      </c>
      <c r="D34" s="3">
        <v>1</v>
      </c>
      <c r="E34" s="4"/>
      <c r="F34" s="4" t="s">
        <v>60</v>
      </c>
      <c r="G34" s="3"/>
    </row>
    <row r="35" spans="1:7" x14ac:dyDescent="0.25">
      <c r="A35" s="3"/>
      <c r="B35" s="3"/>
      <c r="C35" s="3" t="s">
        <v>347</v>
      </c>
      <c r="D35" s="3">
        <v>7</v>
      </c>
      <c r="E35" s="4">
        <v>110000</v>
      </c>
      <c r="F35" s="4">
        <f t="shared" si="0"/>
        <v>770000</v>
      </c>
      <c r="G35" s="3"/>
    </row>
    <row r="36" spans="1:7" x14ac:dyDescent="0.25">
      <c r="A36" s="3"/>
      <c r="B36" s="3"/>
      <c r="C36" s="3" t="s">
        <v>31</v>
      </c>
      <c r="D36" s="3">
        <v>50</v>
      </c>
      <c r="E36" s="4">
        <v>7000</v>
      </c>
      <c r="F36" s="4">
        <f t="shared" si="0"/>
        <v>350000</v>
      </c>
      <c r="G36" s="3" t="s">
        <v>57</v>
      </c>
    </row>
    <row r="37" spans="1:7" x14ac:dyDescent="0.25">
      <c r="A37" s="3"/>
      <c r="B37" s="3"/>
      <c r="C37" s="3" t="s">
        <v>52</v>
      </c>
      <c r="D37" s="3">
        <v>1</v>
      </c>
      <c r="E37" s="4">
        <v>60000</v>
      </c>
      <c r="F37" s="4">
        <f t="shared" si="0"/>
        <v>60000</v>
      </c>
      <c r="G37" s="3"/>
    </row>
    <row r="38" spans="1:7" x14ac:dyDescent="0.25">
      <c r="A38" s="3"/>
      <c r="B38" s="3"/>
      <c r="C38" s="3"/>
      <c r="D38" s="3"/>
      <c r="E38" s="4"/>
      <c r="F38" s="4"/>
      <c r="G38" s="3"/>
    </row>
    <row r="39" spans="1:7" x14ac:dyDescent="0.25">
      <c r="A39" s="3"/>
      <c r="B39" s="3" t="s">
        <v>29</v>
      </c>
      <c r="C39" s="3" t="s">
        <v>348</v>
      </c>
      <c r="D39" s="3">
        <v>1</v>
      </c>
      <c r="E39" s="4">
        <v>850000</v>
      </c>
      <c r="F39" s="4">
        <f t="shared" si="0"/>
        <v>850000</v>
      </c>
      <c r="G39" s="3"/>
    </row>
    <row r="40" spans="1:7" x14ac:dyDescent="0.25">
      <c r="A40" s="3"/>
      <c r="B40" s="3"/>
      <c r="C40" s="3" t="s">
        <v>27</v>
      </c>
      <c r="D40" s="3">
        <v>1</v>
      </c>
      <c r="E40" s="4">
        <v>150000</v>
      </c>
      <c r="F40" s="4">
        <f t="shared" si="0"/>
        <v>150000</v>
      </c>
      <c r="G40" s="3"/>
    </row>
    <row r="41" spans="1:7" x14ac:dyDescent="0.25">
      <c r="A41" s="3"/>
      <c r="B41" s="3"/>
      <c r="C41" s="3" t="s">
        <v>30</v>
      </c>
      <c r="D41" s="3">
        <v>1</v>
      </c>
      <c r="E41" s="4"/>
      <c r="F41" s="4" t="s">
        <v>60</v>
      </c>
      <c r="G41" s="3"/>
    </row>
    <row r="42" spans="1:7" x14ac:dyDescent="0.25">
      <c r="A42" s="3"/>
      <c r="B42" s="3"/>
      <c r="C42" s="3" t="s">
        <v>55</v>
      </c>
      <c r="D42" s="3">
        <v>1</v>
      </c>
      <c r="E42" s="4">
        <v>1500000</v>
      </c>
      <c r="F42" s="4">
        <f t="shared" si="0"/>
        <v>1500000</v>
      </c>
      <c r="G42" s="3"/>
    </row>
    <row r="43" spans="1:7" x14ac:dyDescent="0.25">
      <c r="A43" s="3"/>
      <c r="B43" s="3"/>
      <c r="C43" s="3" t="s">
        <v>40</v>
      </c>
      <c r="D43" s="3">
        <v>1</v>
      </c>
      <c r="E43" s="4"/>
      <c r="F43" s="4" t="s">
        <v>60</v>
      </c>
      <c r="G43" s="3"/>
    </row>
    <row r="44" spans="1:7" x14ac:dyDescent="0.25">
      <c r="A44" s="3"/>
      <c r="B44" s="3"/>
      <c r="C44" s="3" t="s">
        <v>52</v>
      </c>
      <c r="D44" s="3">
        <v>1</v>
      </c>
      <c r="E44" s="4">
        <v>60000</v>
      </c>
      <c r="F44" s="4">
        <f t="shared" si="0"/>
        <v>60000</v>
      </c>
      <c r="G44" s="3"/>
    </row>
    <row r="45" spans="1:7" x14ac:dyDescent="0.25">
      <c r="A45" s="3"/>
      <c r="B45" s="3"/>
      <c r="C45" s="3" t="s">
        <v>54</v>
      </c>
      <c r="D45" s="3">
        <v>1</v>
      </c>
      <c r="E45" s="4">
        <v>380000</v>
      </c>
      <c r="F45" s="4">
        <f t="shared" si="0"/>
        <v>380000</v>
      </c>
      <c r="G45" s="3"/>
    </row>
    <row r="46" spans="1:7" x14ac:dyDescent="0.25">
      <c r="A46" s="3"/>
      <c r="B46" s="3"/>
      <c r="C46" s="3"/>
      <c r="D46" s="3"/>
      <c r="E46" s="4"/>
      <c r="F46" s="4">
        <f t="shared" si="0"/>
        <v>0</v>
      </c>
      <c r="G46" s="3"/>
    </row>
    <row r="47" spans="1:7" x14ac:dyDescent="0.25">
      <c r="A47" s="6">
        <v>4</v>
      </c>
      <c r="B47" s="2" t="s">
        <v>32</v>
      </c>
      <c r="C47" s="24" t="s">
        <v>336</v>
      </c>
      <c r="D47" s="3"/>
      <c r="E47" s="4"/>
      <c r="F47" s="4">
        <f t="shared" si="0"/>
        <v>0</v>
      </c>
      <c r="G47" s="3" t="s">
        <v>58</v>
      </c>
    </row>
    <row r="48" spans="1:7" x14ac:dyDescent="0.25">
      <c r="A48" s="3"/>
      <c r="B48" s="3"/>
      <c r="C48" s="3" t="s">
        <v>349</v>
      </c>
      <c r="D48" s="3">
        <v>34</v>
      </c>
      <c r="E48" s="4">
        <v>173118</v>
      </c>
      <c r="F48" s="4">
        <f t="shared" si="0"/>
        <v>5886012</v>
      </c>
      <c r="G48" s="3" t="s">
        <v>350</v>
      </c>
    </row>
    <row r="49" spans="1:7" x14ac:dyDescent="0.25">
      <c r="A49" s="3"/>
      <c r="B49" s="3"/>
      <c r="C49" s="3" t="s">
        <v>33</v>
      </c>
      <c r="D49" s="3"/>
      <c r="E49" s="4"/>
      <c r="F49" s="4">
        <f t="shared" si="0"/>
        <v>0</v>
      </c>
      <c r="G49" s="3" t="s">
        <v>58</v>
      </c>
    </row>
    <row r="50" spans="1:7" x14ac:dyDescent="0.25">
      <c r="A50" s="3"/>
      <c r="B50" s="3"/>
      <c r="C50" s="3" t="s">
        <v>34</v>
      </c>
      <c r="D50" s="3">
        <v>2</v>
      </c>
      <c r="E50" s="4"/>
      <c r="F50" s="4"/>
      <c r="G50" s="3" t="s">
        <v>58</v>
      </c>
    </row>
    <row r="51" spans="1:7" x14ac:dyDescent="0.25">
      <c r="A51" s="3"/>
      <c r="B51" s="3"/>
      <c r="C51" s="3" t="s">
        <v>16</v>
      </c>
      <c r="D51" s="3">
        <v>15</v>
      </c>
      <c r="E51" s="4"/>
      <c r="F51" s="4"/>
      <c r="G51" s="3" t="s">
        <v>58</v>
      </c>
    </row>
    <row r="52" spans="1:7" x14ac:dyDescent="0.25">
      <c r="A52" s="3"/>
      <c r="B52" s="3"/>
      <c r="C52" s="3"/>
      <c r="D52" s="3"/>
      <c r="E52" s="4"/>
      <c r="F52" s="4">
        <f t="shared" si="0"/>
        <v>0</v>
      </c>
      <c r="G52" s="3"/>
    </row>
    <row r="53" spans="1:7" x14ac:dyDescent="0.25">
      <c r="A53" s="6">
        <v>5</v>
      </c>
      <c r="B53" s="2" t="s">
        <v>35</v>
      </c>
      <c r="C53" s="3" t="s">
        <v>36</v>
      </c>
      <c r="D53" s="3">
        <v>1</v>
      </c>
      <c r="E53" s="4">
        <v>300000</v>
      </c>
      <c r="F53" s="4">
        <f t="shared" si="0"/>
        <v>300000</v>
      </c>
      <c r="G53" s="3" t="s">
        <v>352</v>
      </c>
    </row>
    <row r="54" spans="1:7" x14ac:dyDescent="0.25">
      <c r="A54" s="3"/>
      <c r="B54" s="3"/>
      <c r="C54" s="3" t="s">
        <v>37</v>
      </c>
      <c r="D54" s="3">
        <v>1</v>
      </c>
      <c r="E54" s="4">
        <v>300000</v>
      </c>
      <c r="F54" s="4">
        <f t="shared" si="0"/>
        <v>300000</v>
      </c>
      <c r="G54" s="3"/>
    </row>
    <row r="55" spans="1:7" x14ac:dyDescent="0.25">
      <c r="A55" s="3"/>
      <c r="B55" s="3"/>
      <c r="C55" s="3" t="s">
        <v>38</v>
      </c>
      <c r="D55" s="3">
        <v>1</v>
      </c>
      <c r="E55" s="4">
        <v>150000</v>
      </c>
      <c r="F55" s="4">
        <f t="shared" si="0"/>
        <v>150000</v>
      </c>
      <c r="G55" s="3"/>
    </row>
    <row r="56" spans="1:7" x14ac:dyDescent="0.25">
      <c r="A56" s="3"/>
      <c r="B56" s="3"/>
      <c r="C56" s="3" t="s">
        <v>39</v>
      </c>
      <c r="D56" s="3">
        <v>1</v>
      </c>
      <c r="E56" s="4"/>
      <c r="F56" s="4" t="s">
        <v>60</v>
      </c>
      <c r="G56" s="3" t="s">
        <v>48</v>
      </c>
    </row>
    <row r="57" spans="1:7" x14ac:dyDescent="0.25">
      <c r="A57" s="6">
        <v>6</v>
      </c>
      <c r="B57" s="2" t="s">
        <v>334</v>
      </c>
      <c r="C57" s="24" t="s">
        <v>335</v>
      </c>
      <c r="D57" s="3"/>
      <c r="E57" s="4"/>
      <c r="F57" s="4"/>
      <c r="G57" s="3" t="s">
        <v>351</v>
      </c>
    </row>
    <row r="58" spans="1:7" x14ac:dyDescent="0.25">
      <c r="A58" s="3"/>
      <c r="B58" s="24"/>
      <c r="C58" s="3"/>
      <c r="D58" s="3"/>
      <c r="E58" s="4"/>
      <c r="F58" s="4">
        <f t="shared" si="0"/>
        <v>0</v>
      </c>
      <c r="G58" s="3"/>
    </row>
    <row r="59" spans="1:7" x14ac:dyDescent="0.25">
      <c r="A59" s="6">
        <v>7</v>
      </c>
      <c r="B59" s="2" t="s">
        <v>43</v>
      </c>
      <c r="C59" s="3" t="s">
        <v>44</v>
      </c>
      <c r="D59" s="3">
        <v>1</v>
      </c>
      <c r="E59" s="4">
        <v>400000</v>
      </c>
      <c r="F59" s="4">
        <f t="shared" si="0"/>
        <v>400000</v>
      </c>
      <c r="G59" s="3"/>
    </row>
    <row r="60" spans="1:7" x14ac:dyDescent="0.25">
      <c r="A60" s="3"/>
      <c r="B60" s="3"/>
      <c r="C60" s="3" t="s">
        <v>45</v>
      </c>
      <c r="D60" s="3">
        <v>5</v>
      </c>
      <c r="E60" s="4">
        <v>120000</v>
      </c>
      <c r="F60" s="4">
        <f t="shared" si="0"/>
        <v>600000</v>
      </c>
      <c r="G60" s="3"/>
    </row>
    <row r="61" spans="1:7" x14ac:dyDescent="0.25">
      <c r="A61" s="19"/>
      <c r="B61" s="32" t="s">
        <v>61</v>
      </c>
      <c r="C61" s="33"/>
      <c r="D61" s="34"/>
      <c r="E61" s="20">
        <f>SUM(E5:E60)</f>
        <v>11927118</v>
      </c>
      <c r="F61" s="20">
        <f>SUM(F5:F60)</f>
        <v>30786012</v>
      </c>
      <c r="G61" s="19"/>
    </row>
    <row r="62" spans="1:7" x14ac:dyDescent="0.25">
      <c r="E62" s="31" t="s">
        <v>340</v>
      </c>
      <c r="F62" s="31" t="s">
        <v>339</v>
      </c>
    </row>
  </sheetData>
  <mergeCells count="3">
    <mergeCell ref="B61:D61"/>
    <mergeCell ref="A1:G2"/>
    <mergeCell ref="A3:G3"/>
  </mergeCells>
  <pageMargins left="0.7" right="0.7" top="0.75" bottom="0.75" header="0.3" footer="0.3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8CDE-6C12-4166-A104-5DB13C1FF02D}">
  <dimension ref="A1:I287"/>
  <sheetViews>
    <sheetView topLeftCell="A38" workbookViewId="0">
      <selection activeCell="E52" sqref="E52"/>
    </sheetView>
  </sheetViews>
  <sheetFormatPr defaultColWidth="9.109375" defaultRowHeight="15" customHeight="1" x14ac:dyDescent="0.3"/>
  <cols>
    <col min="1" max="1" width="9.109375" style="7"/>
    <col min="2" max="2" width="37.109375" style="7" customWidth="1"/>
    <col min="3" max="3" width="14.44140625" style="7" customWidth="1"/>
    <col min="4" max="4" width="21.77734375" style="30" bestFit="1" customWidth="1"/>
    <col min="5" max="5" width="15.109375" style="7" customWidth="1"/>
    <col min="6" max="6" width="15.5546875" style="7" customWidth="1"/>
    <col min="7" max="7" width="16.6640625" style="7" customWidth="1"/>
    <col min="8" max="16384" width="9.109375" style="7"/>
  </cols>
  <sheetData>
    <row r="1" spans="1:9" ht="14.4" customHeight="1" x14ac:dyDescent="0.3">
      <c r="A1" s="35" t="s">
        <v>62</v>
      </c>
      <c r="B1" s="35"/>
      <c r="C1" s="35"/>
      <c r="D1" s="35"/>
    </row>
    <row r="2" spans="1:9" ht="14.4" customHeight="1" x14ac:dyDescent="0.3">
      <c r="A2" s="35"/>
      <c r="B2" s="35"/>
      <c r="C2" s="35"/>
      <c r="D2" s="35"/>
      <c r="E2" s="8"/>
      <c r="F2" s="8"/>
      <c r="G2" s="8"/>
      <c r="H2" s="8"/>
      <c r="I2" s="8"/>
    </row>
    <row r="3" spans="1:9" ht="19.95" customHeight="1" x14ac:dyDescent="0.25">
      <c r="A3" s="38" t="s">
        <v>63</v>
      </c>
      <c r="B3" s="38"/>
      <c r="C3" s="38"/>
      <c r="D3" s="38"/>
    </row>
    <row r="4" spans="1:9" ht="19.95" customHeight="1" x14ac:dyDescent="0.3">
      <c r="A4" s="17" t="s">
        <v>326</v>
      </c>
      <c r="B4" s="18" t="s">
        <v>66</v>
      </c>
      <c r="C4" s="13" t="s">
        <v>64</v>
      </c>
      <c r="D4" s="29" t="s">
        <v>65</v>
      </c>
    </row>
    <row r="5" spans="1:9" ht="15" customHeight="1" x14ac:dyDescent="0.3">
      <c r="A5" s="7">
        <v>1</v>
      </c>
      <c r="B5" s="7" t="s">
        <v>67</v>
      </c>
      <c r="C5" s="7">
        <v>1</v>
      </c>
      <c r="D5" s="30">
        <v>100000</v>
      </c>
    </row>
    <row r="6" spans="1:9" ht="15" customHeight="1" x14ac:dyDescent="0.3">
      <c r="A6" s="7">
        <v>2</v>
      </c>
      <c r="B6" s="7" t="s">
        <v>68</v>
      </c>
      <c r="C6" s="7" t="s">
        <v>69</v>
      </c>
      <c r="D6" s="30">
        <v>25000</v>
      </c>
    </row>
    <row r="7" spans="1:9" ht="15" customHeight="1" x14ac:dyDescent="0.3">
      <c r="A7" s="7">
        <v>3</v>
      </c>
      <c r="B7" s="7" t="s">
        <v>70</v>
      </c>
      <c r="C7" s="7">
        <v>15</v>
      </c>
      <c r="D7" s="30">
        <v>5000</v>
      </c>
    </row>
    <row r="8" spans="1:9" ht="15" customHeight="1" x14ac:dyDescent="0.3">
      <c r="A8" s="7">
        <v>4</v>
      </c>
      <c r="B8" s="7" t="s">
        <v>71</v>
      </c>
      <c r="C8" s="7">
        <v>2</v>
      </c>
      <c r="D8" s="30">
        <v>50000</v>
      </c>
    </row>
    <row r="9" spans="1:9" ht="15" customHeight="1" x14ac:dyDescent="0.3">
      <c r="A9" s="7">
        <v>5</v>
      </c>
      <c r="B9" s="7" t="s">
        <v>72</v>
      </c>
      <c r="C9" s="7">
        <v>4</v>
      </c>
      <c r="D9" s="30">
        <v>200000</v>
      </c>
    </row>
    <row r="10" spans="1:9" ht="15" customHeight="1" x14ac:dyDescent="0.3">
      <c r="A10" s="7">
        <v>6</v>
      </c>
      <c r="B10" s="7" t="s">
        <v>73</v>
      </c>
      <c r="C10" s="7">
        <v>5</v>
      </c>
      <c r="D10" s="30">
        <v>20000</v>
      </c>
    </row>
    <row r="11" spans="1:9" ht="15" customHeight="1" x14ac:dyDescent="0.3">
      <c r="A11" s="7">
        <v>7</v>
      </c>
      <c r="B11" s="7" t="s">
        <v>74</v>
      </c>
      <c r="C11" s="7">
        <v>15</v>
      </c>
      <c r="D11" s="30">
        <v>20000</v>
      </c>
    </row>
    <row r="12" spans="1:9" ht="15" customHeight="1" x14ac:dyDescent="0.3">
      <c r="A12" s="7">
        <v>8</v>
      </c>
      <c r="B12" s="7" t="s">
        <v>75</v>
      </c>
      <c r="C12" s="7">
        <v>20</v>
      </c>
      <c r="D12" s="30">
        <v>10000</v>
      </c>
    </row>
    <row r="13" spans="1:9" ht="15" customHeight="1" x14ac:dyDescent="0.3">
      <c r="A13" s="7">
        <v>9</v>
      </c>
      <c r="B13" s="7" t="s">
        <v>76</v>
      </c>
      <c r="C13" s="7">
        <v>20</v>
      </c>
      <c r="D13" s="30">
        <v>10000</v>
      </c>
    </row>
    <row r="14" spans="1:9" ht="15" customHeight="1" x14ac:dyDescent="0.3">
      <c r="A14" s="7">
        <v>10</v>
      </c>
      <c r="B14" s="7" t="s">
        <v>77</v>
      </c>
      <c r="C14" s="7">
        <v>20</v>
      </c>
      <c r="D14" s="30">
        <v>10000</v>
      </c>
    </row>
    <row r="15" spans="1:9" ht="15" customHeight="1" x14ac:dyDescent="0.3">
      <c r="A15" s="7">
        <v>11</v>
      </c>
      <c r="B15" s="7" t="s">
        <v>78</v>
      </c>
      <c r="C15" s="7">
        <v>10</v>
      </c>
      <c r="D15" s="30">
        <v>25000</v>
      </c>
    </row>
    <row r="16" spans="1:9" ht="15" customHeight="1" x14ac:dyDescent="0.3">
      <c r="A16" s="7">
        <v>12</v>
      </c>
      <c r="B16" s="7" t="s">
        <v>79</v>
      </c>
      <c r="C16" s="7" t="s">
        <v>80</v>
      </c>
      <c r="D16" s="30">
        <v>10000</v>
      </c>
    </row>
    <row r="17" spans="1:4" ht="15" customHeight="1" x14ac:dyDescent="0.3">
      <c r="A17" s="7">
        <v>13</v>
      </c>
      <c r="B17" s="9" t="s">
        <v>81</v>
      </c>
      <c r="C17" s="7">
        <v>20</v>
      </c>
      <c r="D17" s="30">
        <v>5000</v>
      </c>
    </row>
    <row r="18" spans="1:4" ht="15" customHeight="1" x14ac:dyDescent="0.3">
      <c r="A18" s="7">
        <v>14</v>
      </c>
      <c r="B18" s="7" t="s">
        <v>82</v>
      </c>
      <c r="C18" s="7" t="s">
        <v>80</v>
      </c>
      <c r="D18" s="30">
        <v>20000</v>
      </c>
    </row>
    <row r="19" spans="1:4" ht="15" customHeight="1" x14ac:dyDescent="0.3">
      <c r="A19" s="7">
        <v>15</v>
      </c>
      <c r="B19" s="7" t="s">
        <v>83</v>
      </c>
      <c r="C19" s="7" t="s">
        <v>80</v>
      </c>
      <c r="D19" s="30">
        <v>25000</v>
      </c>
    </row>
    <row r="20" spans="1:4" ht="15" customHeight="1" x14ac:dyDescent="0.3">
      <c r="A20" s="7">
        <v>16</v>
      </c>
      <c r="B20" s="7" t="s">
        <v>84</v>
      </c>
      <c r="C20" s="7">
        <v>20</v>
      </c>
      <c r="D20" s="30">
        <v>2500</v>
      </c>
    </row>
    <row r="21" spans="1:4" ht="15" customHeight="1" x14ac:dyDescent="0.3">
      <c r="A21" s="7">
        <v>17</v>
      </c>
      <c r="B21" s="7" t="s">
        <v>85</v>
      </c>
      <c r="C21" s="7">
        <v>20</v>
      </c>
      <c r="D21" s="30">
        <v>5000</v>
      </c>
    </row>
    <row r="22" spans="1:4" ht="15" customHeight="1" x14ac:dyDescent="0.3">
      <c r="A22" s="7">
        <v>18</v>
      </c>
      <c r="B22" s="9" t="s">
        <v>86</v>
      </c>
      <c r="C22" s="7">
        <v>10</v>
      </c>
      <c r="D22" s="30">
        <v>25000</v>
      </c>
    </row>
    <row r="23" spans="1:4" ht="15" customHeight="1" x14ac:dyDescent="0.3">
      <c r="A23" s="7">
        <v>19</v>
      </c>
      <c r="B23" s="7" t="s">
        <v>87</v>
      </c>
      <c r="C23" s="7">
        <v>10</v>
      </c>
      <c r="D23" s="30">
        <v>25000</v>
      </c>
    </row>
    <row r="24" spans="1:4" ht="15" customHeight="1" x14ac:dyDescent="0.3">
      <c r="A24" s="7">
        <v>20</v>
      </c>
      <c r="B24" s="7" t="s">
        <v>88</v>
      </c>
      <c r="C24" s="7">
        <v>1</v>
      </c>
      <c r="D24" s="30">
        <v>250000</v>
      </c>
    </row>
    <row r="25" spans="1:4" ht="15" customHeight="1" x14ac:dyDescent="0.3">
      <c r="A25" s="7">
        <v>21</v>
      </c>
      <c r="B25" s="7" t="s">
        <v>89</v>
      </c>
      <c r="C25" s="7">
        <v>10</v>
      </c>
      <c r="D25" s="30">
        <v>10000</v>
      </c>
    </row>
    <row r="26" spans="1:4" ht="15" customHeight="1" x14ac:dyDescent="0.3">
      <c r="A26" s="7">
        <v>22</v>
      </c>
      <c r="B26" s="7" t="s">
        <v>90</v>
      </c>
      <c r="C26" s="7">
        <v>10</v>
      </c>
      <c r="D26" s="30">
        <v>10000</v>
      </c>
    </row>
    <row r="27" spans="1:4" ht="15" customHeight="1" x14ac:dyDescent="0.3">
      <c r="A27" s="7">
        <v>23</v>
      </c>
      <c r="B27" s="7" t="s">
        <v>91</v>
      </c>
      <c r="C27" s="7">
        <v>10</v>
      </c>
      <c r="D27" s="30">
        <v>5000</v>
      </c>
    </row>
    <row r="28" spans="1:4" ht="15" customHeight="1" x14ac:dyDescent="0.3">
      <c r="A28" s="7">
        <v>24</v>
      </c>
      <c r="B28" s="7" t="s">
        <v>92</v>
      </c>
      <c r="C28" s="7">
        <v>10</v>
      </c>
      <c r="D28" s="30">
        <v>10000</v>
      </c>
    </row>
    <row r="29" spans="1:4" ht="15" customHeight="1" x14ac:dyDescent="0.3">
      <c r="A29" s="7">
        <v>25</v>
      </c>
      <c r="B29" s="7" t="s">
        <v>93</v>
      </c>
      <c r="C29" s="7">
        <v>10</v>
      </c>
      <c r="D29" s="30">
        <v>5000</v>
      </c>
    </row>
    <row r="30" spans="1:4" ht="15" customHeight="1" x14ac:dyDescent="0.3">
      <c r="A30" s="7">
        <v>26</v>
      </c>
      <c r="B30" s="7" t="s">
        <v>94</v>
      </c>
      <c r="C30" s="7">
        <v>10</v>
      </c>
      <c r="D30" s="30">
        <v>5000</v>
      </c>
    </row>
    <row r="31" spans="1:4" ht="15" customHeight="1" x14ac:dyDescent="0.3">
      <c r="A31" s="7">
        <v>27</v>
      </c>
      <c r="B31" s="7" t="s">
        <v>95</v>
      </c>
      <c r="C31" s="7">
        <v>10</v>
      </c>
      <c r="D31" s="30">
        <v>10000</v>
      </c>
    </row>
    <row r="32" spans="1:4" ht="15" customHeight="1" x14ac:dyDescent="0.3">
      <c r="A32" s="7">
        <v>28</v>
      </c>
      <c r="B32" s="7" t="s">
        <v>96</v>
      </c>
      <c r="C32" s="7">
        <v>1</v>
      </c>
      <c r="D32" s="30">
        <v>20000</v>
      </c>
    </row>
    <row r="33" spans="1:4" ht="15" customHeight="1" x14ac:dyDescent="0.3">
      <c r="A33" s="7">
        <v>29</v>
      </c>
      <c r="B33" s="7" t="s">
        <v>97</v>
      </c>
      <c r="C33" s="7">
        <v>10</v>
      </c>
      <c r="D33" s="30">
        <v>10000</v>
      </c>
    </row>
    <row r="34" spans="1:4" ht="15" customHeight="1" x14ac:dyDescent="0.3">
      <c r="A34" s="7">
        <v>30</v>
      </c>
      <c r="B34" s="7" t="s">
        <v>98</v>
      </c>
      <c r="C34" s="7">
        <v>20</v>
      </c>
      <c r="D34" s="30">
        <v>5000</v>
      </c>
    </row>
    <row r="35" spans="1:4" ht="15" customHeight="1" x14ac:dyDescent="0.3">
      <c r="A35" s="7">
        <v>31</v>
      </c>
      <c r="B35" s="7" t="s">
        <v>99</v>
      </c>
      <c r="C35" s="7">
        <v>20</v>
      </c>
      <c r="D35" s="30">
        <v>5000</v>
      </c>
    </row>
    <row r="36" spans="1:4" ht="15" customHeight="1" x14ac:dyDescent="0.3">
      <c r="A36" s="7">
        <v>32</v>
      </c>
      <c r="B36" s="7" t="s">
        <v>100</v>
      </c>
      <c r="C36" s="7">
        <v>20</v>
      </c>
      <c r="D36" s="30">
        <v>5000</v>
      </c>
    </row>
    <row r="37" spans="1:4" ht="15" customHeight="1" x14ac:dyDescent="0.3">
      <c r="A37" s="7">
        <v>33</v>
      </c>
      <c r="B37" s="7" t="s">
        <v>101</v>
      </c>
      <c r="C37" s="7">
        <v>10</v>
      </c>
      <c r="D37" s="30">
        <v>25000</v>
      </c>
    </row>
    <row r="38" spans="1:4" ht="15" customHeight="1" x14ac:dyDescent="0.3">
      <c r="A38" s="7">
        <v>34</v>
      </c>
      <c r="B38" s="7" t="s">
        <v>102</v>
      </c>
      <c r="C38" s="7">
        <v>10</v>
      </c>
      <c r="D38" s="30">
        <v>25000</v>
      </c>
    </row>
    <row r="39" spans="1:4" ht="15" customHeight="1" x14ac:dyDescent="0.3">
      <c r="A39" s="7">
        <v>35</v>
      </c>
      <c r="B39" s="9" t="s">
        <v>103</v>
      </c>
      <c r="C39" s="7">
        <v>1</v>
      </c>
      <c r="D39" s="30">
        <v>50000</v>
      </c>
    </row>
    <row r="40" spans="1:4" ht="15" customHeight="1" x14ac:dyDescent="0.3">
      <c r="A40" s="7">
        <v>36</v>
      </c>
      <c r="B40" s="9" t="s">
        <v>104</v>
      </c>
      <c r="C40" s="7">
        <v>5</v>
      </c>
      <c r="D40" s="30">
        <v>25000</v>
      </c>
    </row>
    <row r="41" spans="1:4" ht="15" customHeight="1" x14ac:dyDescent="0.3">
      <c r="A41" s="7">
        <v>37</v>
      </c>
      <c r="B41" s="7" t="s">
        <v>105</v>
      </c>
      <c r="C41" s="7">
        <v>15</v>
      </c>
      <c r="D41" s="30">
        <v>10000</v>
      </c>
    </row>
    <row r="42" spans="1:4" ht="15" customHeight="1" x14ac:dyDescent="0.3">
      <c r="A42" s="7">
        <v>38</v>
      </c>
      <c r="B42" s="7" t="s">
        <v>106</v>
      </c>
      <c r="C42" s="7">
        <v>10</v>
      </c>
      <c r="D42" s="30">
        <v>10000</v>
      </c>
    </row>
    <row r="43" spans="1:4" ht="15" customHeight="1" x14ac:dyDescent="0.3">
      <c r="A43" s="7">
        <v>39</v>
      </c>
      <c r="B43" s="7" t="s">
        <v>107</v>
      </c>
      <c r="C43" s="7">
        <v>2</v>
      </c>
      <c r="D43" s="30">
        <v>30000</v>
      </c>
    </row>
    <row r="44" spans="1:4" ht="15" customHeight="1" x14ac:dyDescent="0.3">
      <c r="A44" s="7">
        <v>40</v>
      </c>
      <c r="B44" s="7" t="s">
        <v>108</v>
      </c>
      <c r="C44" s="7">
        <v>20</v>
      </c>
      <c r="D44" s="30">
        <v>15000</v>
      </c>
    </row>
    <row r="45" spans="1:4" ht="15" customHeight="1" x14ac:dyDescent="0.3">
      <c r="A45" s="7">
        <v>41</v>
      </c>
      <c r="B45" s="7" t="s">
        <v>109</v>
      </c>
      <c r="C45" s="7">
        <v>10</v>
      </c>
      <c r="D45" s="30">
        <v>10000</v>
      </c>
    </row>
    <row r="46" spans="1:4" ht="15" customHeight="1" x14ac:dyDescent="0.3">
      <c r="A46" s="7">
        <v>42</v>
      </c>
      <c r="B46" s="7" t="s">
        <v>110</v>
      </c>
      <c r="C46" s="7">
        <v>1</v>
      </c>
      <c r="D46" s="30">
        <v>100000</v>
      </c>
    </row>
    <row r="47" spans="1:4" ht="15" customHeight="1" x14ac:dyDescent="0.3">
      <c r="A47" s="7">
        <v>43</v>
      </c>
      <c r="B47" s="7" t="s">
        <v>111</v>
      </c>
      <c r="C47" s="7">
        <v>10</v>
      </c>
      <c r="D47" s="30">
        <v>10000</v>
      </c>
    </row>
    <row r="48" spans="1:4" ht="15" customHeight="1" x14ac:dyDescent="0.3">
      <c r="A48" s="7">
        <v>44</v>
      </c>
      <c r="B48" s="7" t="s">
        <v>112</v>
      </c>
      <c r="C48" s="7">
        <v>30</v>
      </c>
      <c r="D48" s="30">
        <v>10000</v>
      </c>
    </row>
    <row r="49" spans="1:4" ht="15" customHeight="1" x14ac:dyDescent="0.3">
      <c r="A49" s="7">
        <v>45</v>
      </c>
      <c r="B49" s="9" t="s">
        <v>113</v>
      </c>
      <c r="C49" s="7">
        <v>20</v>
      </c>
      <c r="D49" s="30">
        <v>5000</v>
      </c>
    </row>
    <row r="50" spans="1:4" ht="15" customHeight="1" x14ac:dyDescent="0.3">
      <c r="A50" s="7">
        <v>46</v>
      </c>
      <c r="B50" s="7" t="s">
        <v>114</v>
      </c>
      <c r="C50" s="7" t="s">
        <v>115</v>
      </c>
      <c r="D50" s="30">
        <v>30000</v>
      </c>
    </row>
    <row r="51" spans="1:4" ht="15" customHeight="1" x14ac:dyDescent="0.3">
      <c r="A51" s="7">
        <v>47</v>
      </c>
      <c r="B51" s="7" t="s">
        <v>116</v>
      </c>
      <c r="C51" s="7" t="s">
        <v>117</v>
      </c>
      <c r="D51" s="30">
        <v>30000</v>
      </c>
    </row>
    <row r="52" spans="1:4" ht="15" customHeight="1" x14ac:dyDescent="0.3">
      <c r="A52" s="7">
        <v>48</v>
      </c>
      <c r="B52" s="7" t="s">
        <v>118</v>
      </c>
      <c r="C52" s="7">
        <v>1</v>
      </c>
      <c r="D52" s="30">
        <v>5000</v>
      </c>
    </row>
    <row r="53" spans="1:4" ht="15" customHeight="1" x14ac:dyDescent="0.3">
      <c r="A53" s="7">
        <v>49</v>
      </c>
      <c r="B53" s="7" t="s">
        <v>119</v>
      </c>
      <c r="C53" s="7" t="s">
        <v>120</v>
      </c>
      <c r="D53" s="30">
        <v>90000</v>
      </c>
    </row>
    <row r="54" spans="1:4" ht="15" customHeight="1" x14ac:dyDescent="0.3">
      <c r="A54" s="7">
        <v>50</v>
      </c>
      <c r="B54" s="7" t="s">
        <v>121</v>
      </c>
      <c r="C54" s="7" t="s">
        <v>69</v>
      </c>
      <c r="D54" s="30">
        <v>10000</v>
      </c>
    </row>
    <row r="55" spans="1:4" ht="15" customHeight="1" x14ac:dyDescent="0.3">
      <c r="A55" s="14">
        <v>51</v>
      </c>
      <c r="B55" s="14" t="s">
        <v>122</v>
      </c>
      <c r="C55" s="14" t="s">
        <v>69</v>
      </c>
      <c r="D55" s="27">
        <v>10000</v>
      </c>
    </row>
    <row r="56" spans="1:4" ht="15" customHeight="1" x14ac:dyDescent="0.3">
      <c r="B56" s="37" t="s">
        <v>327</v>
      </c>
      <c r="C56" s="37"/>
      <c r="D56" s="28">
        <f>SUM(D5:D55)</f>
        <v>1442500</v>
      </c>
    </row>
    <row r="58" spans="1:4" ht="19.95" customHeight="1" x14ac:dyDescent="0.3">
      <c r="A58" s="16" t="s">
        <v>326</v>
      </c>
      <c r="B58" s="12" t="s">
        <v>123</v>
      </c>
      <c r="C58" s="13" t="s">
        <v>64</v>
      </c>
      <c r="D58" s="29" t="s">
        <v>65</v>
      </c>
    </row>
    <row r="59" spans="1:4" ht="15" customHeight="1" x14ac:dyDescent="0.3">
      <c r="A59" s="7">
        <v>1</v>
      </c>
      <c r="B59" s="10" t="s">
        <v>124</v>
      </c>
      <c r="C59" s="7">
        <v>1</v>
      </c>
      <c r="D59" s="30">
        <v>300000</v>
      </c>
    </row>
    <row r="60" spans="1:4" ht="15" customHeight="1" x14ac:dyDescent="0.3">
      <c r="A60" s="7">
        <v>2</v>
      </c>
      <c r="B60" s="7" t="s">
        <v>125</v>
      </c>
      <c r="C60" s="7" t="s">
        <v>126</v>
      </c>
      <c r="D60" s="30">
        <v>150000</v>
      </c>
    </row>
    <row r="61" spans="1:4" ht="15" customHeight="1" x14ac:dyDescent="0.3">
      <c r="A61" s="7">
        <v>3</v>
      </c>
      <c r="B61" s="7" t="s">
        <v>127</v>
      </c>
      <c r="C61" s="7">
        <v>10</v>
      </c>
      <c r="D61" s="30">
        <v>10000</v>
      </c>
    </row>
    <row r="62" spans="1:4" ht="15" customHeight="1" x14ac:dyDescent="0.3">
      <c r="A62" s="7">
        <v>4</v>
      </c>
      <c r="B62" s="7" t="s">
        <v>128</v>
      </c>
      <c r="C62" s="7">
        <v>20</v>
      </c>
      <c r="D62" s="30">
        <v>10000</v>
      </c>
    </row>
    <row r="63" spans="1:4" ht="15" customHeight="1" x14ac:dyDescent="0.3">
      <c r="A63" s="7">
        <v>5</v>
      </c>
      <c r="B63" s="7" t="s">
        <v>129</v>
      </c>
      <c r="C63" s="7">
        <v>20</v>
      </c>
      <c r="D63" s="30">
        <v>5000</v>
      </c>
    </row>
    <row r="64" spans="1:4" ht="15" customHeight="1" x14ac:dyDescent="0.3">
      <c r="A64" s="7">
        <v>6</v>
      </c>
      <c r="B64" s="7" t="s">
        <v>130</v>
      </c>
      <c r="C64" s="7">
        <v>10</v>
      </c>
      <c r="D64" s="30">
        <v>5000</v>
      </c>
    </row>
    <row r="65" spans="1:4" ht="15" customHeight="1" x14ac:dyDescent="0.3">
      <c r="A65" s="7">
        <v>7</v>
      </c>
      <c r="B65" s="7" t="s">
        <v>131</v>
      </c>
      <c r="C65" s="7">
        <v>10</v>
      </c>
      <c r="D65" s="30">
        <v>40000</v>
      </c>
    </row>
    <row r="66" spans="1:4" ht="15" customHeight="1" x14ac:dyDescent="0.3">
      <c r="A66" s="7">
        <v>8</v>
      </c>
      <c r="B66" s="7" t="s">
        <v>132</v>
      </c>
      <c r="C66" s="7">
        <v>15</v>
      </c>
      <c r="D66" s="30">
        <v>10000</v>
      </c>
    </row>
    <row r="67" spans="1:4" ht="15" customHeight="1" x14ac:dyDescent="0.3">
      <c r="A67" s="7">
        <v>9</v>
      </c>
      <c r="B67" s="7" t="s">
        <v>133</v>
      </c>
      <c r="C67" s="7" t="s">
        <v>134</v>
      </c>
      <c r="D67" s="30">
        <v>60000</v>
      </c>
    </row>
    <row r="68" spans="1:4" ht="15" customHeight="1" x14ac:dyDescent="0.3">
      <c r="A68" s="7">
        <v>10</v>
      </c>
      <c r="B68" s="7" t="s">
        <v>78</v>
      </c>
      <c r="C68" s="7">
        <v>10</v>
      </c>
      <c r="D68" s="30">
        <v>25000</v>
      </c>
    </row>
    <row r="69" spans="1:4" ht="15" customHeight="1" x14ac:dyDescent="0.3">
      <c r="A69" s="7">
        <v>11</v>
      </c>
      <c r="B69" s="7" t="s">
        <v>79</v>
      </c>
      <c r="C69" s="7" t="s">
        <v>80</v>
      </c>
      <c r="D69" s="30">
        <v>10000</v>
      </c>
    </row>
    <row r="70" spans="1:4" ht="15" customHeight="1" x14ac:dyDescent="0.3">
      <c r="A70" s="7">
        <v>12</v>
      </c>
      <c r="B70" s="7" t="s">
        <v>135</v>
      </c>
      <c r="C70" s="7">
        <v>5</v>
      </c>
      <c r="D70" s="30">
        <v>10000</v>
      </c>
    </row>
    <row r="71" spans="1:4" ht="15" customHeight="1" x14ac:dyDescent="0.3">
      <c r="A71" s="7">
        <v>13</v>
      </c>
      <c r="B71" s="7" t="s">
        <v>136</v>
      </c>
      <c r="C71" s="7">
        <v>5</v>
      </c>
      <c r="D71" s="30">
        <v>20000</v>
      </c>
    </row>
    <row r="72" spans="1:4" ht="15" customHeight="1" x14ac:dyDescent="0.3">
      <c r="A72" s="7">
        <v>14</v>
      </c>
      <c r="B72" s="7" t="s">
        <v>137</v>
      </c>
      <c r="C72" s="7">
        <v>10</v>
      </c>
      <c r="D72" s="30">
        <v>30000</v>
      </c>
    </row>
    <row r="73" spans="1:4" ht="15" customHeight="1" x14ac:dyDescent="0.3">
      <c r="A73" s="7">
        <v>15</v>
      </c>
      <c r="B73" s="7" t="s">
        <v>138</v>
      </c>
      <c r="C73" s="7">
        <v>10</v>
      </c>
      <c r="D73" s="30">
        <v>5000</v>
      </c>
    </row>
    <row r="74" spans="1:4" ht="15" customHeight="1" x14ac:dyDescent="0.3">
      <c r="A74" s="7">
        <v>16</v>
      </c>
      <c r="B74" s="7" t="s">
        <v>139</v>
      </c>
      <c r="C74" s="7">
        <v>10</v>
      </c>
      <c r="D74" s="30">
        <v>15000</v>
      </c>
    </row>
    <row r="75" spans="1:4" ht="15" customHeight="1" x14ac:dyDescent="0.3">
      <c r="A75" s="7">
        <v>17</v>
      </c>
      <c r="B75" s="7" t="s">
        <v>140</v>
      </c>
      <c r="C75" s="7">
        <v>2</v>
      </c>
      <c r="D75" s="30">
        <v>40000</v>
      </c>
    </row>
    <row r="76" spans="1:4" ht="15" customHeight="1" x14ac:dyDescent="0.3">
      <c r="A76" s="7">
        <v>18</v>
      </c>
      <c r="B76" s="7" t="s">
        <v>88</v>
      </c>
      <c r="C76" s="7">
        <v>1</v>
      </c>
      <c r="D76" s="30">
        <v>250000</v>
      </c>
    </row>
    <row r="77" spans="1:4" ht="15" customHeight="1" x14ac:dyDescent="0.3">
      <c r="A77" s="7">
        <v>19</v>
      </c>
      <c r="B77" s="7" t="s">
        <v>97</v>
      </c>
      <c r="C77" s="7">
        <v>10</v>
      </c>
      <c r="D77" s="30">
        <v>10000</v>
      </c>
    </row>
    <row r="78" spans="1:4" ht="15" customHeight="1" x14ac:dyDescent="0.3">
      <c r="A78" s="7">
        <v>20</v>
      </c>
      <c r="B78" s="7" t="s">
        <v>105</v>
      </c>
      <c r="C78" s="7">
        <v>10</v>
      </c>
      <c r="D78" s="30">
        <v>10000</v>
      </c>
    </row>
    <row r="79" spans="1:4" ht="15" customHeight="1" x14ac:dyDescent="0.3">
      <c r="A79" s="7">
        <v>21</v>
      </c>
      <c r="B79" s="7" t="s">
        <v>141</v>
      </c>
      <c r="C79" s="7">
        <v>10</v>
      </c>
      <c r="D79" s="30">
        <v>5000</v>
      </c>
    </row>
    <row r="80" spans="1:4" ht="15" customHeight="1" x14ac:dyDescent="0.3">
      <c r="A80" s="7">
        <v>22</v>
      </c>
      <c r="B80" s="7" t="s">
        <v>110</v>
      </c>
      <c r="C80" s="7">
        <v>1</v>
      </c>
      <c r="D80" s="30">
        <v>100000</v>
      </c>
    </row>
    <row r="81" spans="1:4" ht="15" customHeight="1" x14ac:dyDescent="0.3">
      <c r="A81" s="7">
        <v>23</v>
      </c>
      <c r="B81" s="7" t="s">
        <v>142</v>
      </c>
      <c r="C81" s="7">
        <v>2</v>
      </c>
      <c r="D81" s="30">
        <v>25000</v>
      </c>
    </row>
    <row r="82" spans="1:4" ht="15" customHeight="1" x14ac:dyDescent="0.3">
      <c r="A82" s="7">
        <v>24</v>
      </c>
      <c r="B82" s="7" t="s">
        <v>143</v>
      </c>
      <c r="C82" s="7">
        <v>15</v>
      </c>
      <c r="D82" s="30">
        <v>20000</v>
      </c>
    </row>
    <row r="83" spans="1:4" ht="15" customHeight="1" x14ac:dyDescent="0.3">
      <c r="A83" s="7">
        <v>25</v>
      </c>
      <c r="B83" s="7" t="s">
        <v>144</v>
      </c>
      <c r="C83" s="7" t="s">
        <v>69</v>
      </c>
      <c r="D83" s="30">
        <v>20000</v>
      </c>
    </row>
    <row r="84" spans="1:4" ht="15" customHeight="1" x14ac:dyDescent="0.3">
      <c r="A84" s="7">
        <v>26</v>
      </c>
      <c r="B84" s="7" t="s">
        <v>145</v>
      </c>
      <c r="C84" s="7" t="s">
        <v>69</v>
      </c>
      <c r="D84" s="30">
        <v>20000</v>
      </c>
    </row>
    <row r="85" spans="1:4" ht="15" customHeight="1" x14ac:dyDescent="0.3">
      <c r="A85" s="7">
        <v>27</v>
      </c>
      <c r="B85" s="7" t="s">
        <v>146</v>
      </c>
      <c r="C85" s="7" t="s">
        <v>147</v>
      </c>
      <c r="D85" s="30">
        <v>50000</v>
      </c>
    </row>
    <row r="86" spans="1:4" ht="15" customHeight="1" x14ac:dyDescent="0.3">
      <c r="A86" s="7">
        <v>28</v>
      </c>
      <c r="B86" s="7" t="s">
        <v>148</v>
      </c>
      <c r="C86" s="7">
        <v>15</v>
      </c>
      <c r="D86" s="30">
        <v>20000</v>
      </c>
    </row>
    <row r="87" spans="1:4" ht="15" customHeight="1" x14ac:dyDescent="0.3">
      <c r="A87" s="7">
        <v>29</v>
      </c>
      <c r="B87" s="7" t="s">
        <v>149</v>
      </c>
      <c r="C87" s="7">
        <v>10</v>
      </c>
      <c r="D87" s="30">
        <v>20000</v>
      </c>
    </row>
    <row r="88" spans="1:4" ht="15" customHeight="1" x14ac:dyDescent="0.3">
      <c r="A88" s="7">
        <v>30</v>
      </c>
      <c r="B88" s="7" t="s">
        <v>150</v>
      </c>
      <c r="C88" s="7">
        <v>1</v>
      </c>
      <c r="D88" s="30">
        <v>70000</v>
      </c>
    </row>
    <row r="89" spans="1:4" ht="15" customHeight="1" x14ac:dyDescent="0.3">
      <c r="A89" s="7">
        <v>31</v>
      </c>
      <c r="B89" s="7" t="s">
        <v>151</v>
      </c>
      <c r="C89" s="7">
        <v>15</v>
      </c>
      <c r="D89" s="30">
        <v>15000</v>
      </c>
    </row>
    <row r="90" spans="1:4" ht="15" customHeight="1" x14ac:dyDescent="0.3">
      <c r="A90" s="7">
        <v>32</v>
      </c>
      <c r="B90" s="7" t="s">
        <v>152</v>
      </c>
      <c r="C90" s="7">
        <v>15</v>
      </c>
      <c r="D90" s="30">
        <v>10000</v>
      </c>
    </row>
    <row r="91" spans="1:4" ht="15" customHeight="1" x14ac:dyDescent="0.3">
      <c r="A91" s="7">
        <v>33</v>
      </c>
      <c r="B91" s="7" t="s">
        <v>153</v>
      </c>
      <c r="C91" s="7">
        <v>20</v>
      </c>
      <c r="D91" s="30">
        <v>25000</v>
      </c>
    </row>
    <row r="92" spans="1:4" ht="15" customHeight="1" x14ac:dyDescent="0.3">
      <c r="A92" s="7">
        <v>34</v>
      </c>
      <c r="B92" s="7" t="s">
        <v>154</v>
      </c>
      <c r="C92" s="7">
        <v>20</v>
      </c>
      <c r="D92" s="30">
        <v>20000</v>
      </c>
    </row>
    <row r="93" spans="1:4" ht="15" customHeight="1" x14ac:dyDescent="0.3">
      <c r="A93" s="7">
        <v>35</v>
      </c>
      <c r="B93" s="7" t="s">
        <v>155</v>
      </c>
      <c r="C93" s="7">
        <v>40</v>
      </c>
      <c r="D93" s="30">
        <v>2000</v>
      </c>
    </row>
    <row r="94" spans="1:4" ht="15" customHeight="1" x14ac:dyDescent="0.3">
      <c r="A94" s="7">
        <v>36</v>
      </c>
      <c r="B94" s="7" t="s">
        <v>156</v>
      </c>
      <c r="C94" s="7">
        <v>20</v>
      </c>
      <c r="D94" s="30">
        <v>20000</v>
      </c>
    </row>
    <row r="95" spans="1:4" ht="15" customHeight="1" x14ac:dyDescent="0.3">
      <c r="A95" s="7">
        <v>37</v>
      </c>
      <c r="B95" s="7" t="s">
        <v>157</v>
      </c>
      <c r="C95" s="7">
        <v>5</v>
      </c>
      <c r="D95" s="30">
        <v>40000</v>
      </c>
    </row>
    <row r="96" spans="1:4" ht="15" customHeight="1" x14ac:dyDescent="0.3">
      <c r="A96" s="7">
        <v>38</v>
      </c>
      <c r="B96" s="7" t="s">
        <v>158</v>
      </c>
      <c r="C96" s="7">
        <v>30</v>
      </c>
      <c r="D96" s="30">
        <v>10000</v>
      </c>
    </row>
    <row r="97" spans="1:4" ht="15" customHeight="1" x14ac:dyDescent="0.3">
      <c r="A97" s="7">
        <v>39</v>
      </c>
      <c r="B97" s="7" t="s">
        <v>159</v>
      </c>
      <c r="C97" s="7">
        <v>30</v>
      </c>
      <c r="D97" s="30">
        <v>20000</v>
      </c>
    </row>
    <row r="98" spans="1:4" ht="15" customHeight="1" x14ac:dyDescent="0.3">
      <c r="A98" s="7">
        <v>40</v>
      </c>
      <c r="B98" s="7" t="s">
        <v>160</v>
      </c>
      <c r="C98" s="7">
        <v>4</v>
      </c>
      <c r="D98" s="30">
        <v>30000</v>
      </c>
    </row>
    <row r="99" spans="1:4" ht="15" customHeight="1" x14ac:dyDescent="0.3">
      <c r="A99" s="7">
        <v>41</v>
      </c>
      <c r="B99" s="7" t="s">
        <v>161</v>
      </c>
      <c r="C99" s="7">
        <v>2</v>
      </c>
      <c r="D99" s="30">
        <v>60000</v>
      </c>
    </row>
    <row r="100" spans="1:4" ht="15" customHeight="1" x14ac:dyDescent="0.3">
      <c r="A100" s="7">
        <v>42</v>
      </c>
      <c r="B100" s="7" t="s">
        <v>162</v>
      </c>
      <c r="C100" s="7">
        <v>20</v>
      </c>
      <c r="D100" s="30">
        <v>20000</v>
      </c>
    </row>
    <row r="101" spans="1:4" ht="15" customHeight="1" x14ac:dyDescent="0.3">
      <c r="A101" s="7">
        <v>43</v>
      </c>
      <c r="B101" s="7" t="s">
        <v>163</v>
      </c>
      <c r="C101" s="7">
        <v>20</v>
      </c>
      <c r="D101" s="30">
        <v>10000</v>
      </c>
    </row>
    <row r="102" spans="1:4" ht="15" customHeight="1" x14ac:dyDescent="0.3">
      <c r="A102" s="7">
        <v>44</v>
      </c>
      <c r="B102" s="7" t="s">
        <v>164</v>
      </c>
      <c r="C102" s="7">
        <v>20</v>
      </c>
      <c r="D102" s="30">
        <v>10000</v>
      </c>
    </row>
    <row r="103" spans="1:4" ht="15" customHeight="1" x14ac:dyDescent="0.3">
      <c r="A103" s="7">
        <v>45</v>
      </c>
      <c r="B103" s="9" t="s">
        <v>165</v>
      </c>
      <c r="C103" s="7">
        <v>20</v>
      </c>
      <c r="D103" s="30">
        <v>25000</v>
      </c>
    </row>
    <row r="104" spans="1:4" ht="15" customHeight="1" x14ac:dyDescent="0.3">
      <c r="A104" s="7">
        <v>46</v>
      </c>
      <c r="B104" s="9" t="s">
        <v>166</v>
      </c>
      <c r="C104" s="7">
        <v>20</v>
      </c>
      <c r="D104" s="30">
        <v>5000</v>
      </c>
    </row>
    <row r="105" spans="1:4" ht="15" customHeight="1" x14ac:dyDescent="0.3">
      <c r="A105" s="7">
        <v>47</v>
      </c>
      <c r="B105" s="7" t="s">
        <v>167</v>
      </c>
      <c r="C105" s="7">
        <v>1</v>
      </c>
      <c r="D105" s="30">
        <v>200000</v>
      </c>
    </row>
    <row r="106" spans="1:4" ht="15" customHeight="1" x14ac:dyDescent="0.3">
      <c r="A106" s="7">
        <v>48</v>
      </c>
      <c r="B106" s="7" t="s">
        <v>168</v>
      </c>
      <c r="C106" s="7" t="s">
        <v>126</v>
      </c>
      <c r="D106" s="30">
        <v>50000</v>
      </c>
    </row>
    <row r="107" spans="1:4" ht="15" customHeight="1" x14ac:dyDescent="0.3">
      <c r="A107" s="7">
        <v>49</v>
      </c>
      <c r="B107" s="10" t="s">
        <v>169</v>
      </c>
      <c r="C107" s="7" t="s">
        <v>170</v>
      </c>
      <c r="D107" s="30">
        <v>30000</v>
      </c>
    </row>
    <row r="108" spans="1:4" ht="15" customHeight="1" x14ac:dyDescent="0.3">
      <c r="A108" s="7">
        <v>50</v>
      </c>
      <c r="B108" s="10" t="s">
        <v>171</v>
      </c>
      <c r="C108" s="7" t="s">
        <v>170</v>
      </c>
      <c r="D108" s="30">
        <v>40000</v>
      </c>
    </row>
    <row r="109" spans="1:4" ht="15" customHeight="1" x14ac:dyDescent="0.3">
      <c r="A109" s="7">
        <v>51</v>
      </c>
      <c r="B109" s="10" t="s">
        <v>172</v>
      </c>
      <c r="C109" s="7" t="s">
        <v>173</v>
      </c>
      <c r="D109" s="30">
        <v>50000</v>
      </c>
    </row>
    <row r="110" spans="1:4" ht="15" customHeight="1" x14ac:dyDescent="0.3">
      <c r="A110" s="7">
        <v>52</v>
      </c>
      <c r="B110" s="10" t="s">
        <v>174</v>
      </c>
      <c r="C110" s="7" t="s">
        <v>115</v>
      </c>
      <c r="D110" s="30">
        <v>20000</v>
      </c>
    </row>
    <row r="111" spans="1:4" ht="15" customHeight="1" x14ac:dyDescent="0.3">
      <c r="A111" s="7">
        <v>53</v>
      </c>
      <c r="B111" s="10" t="s">
        <v>175</v>
      </c>
      <c r="C111" s="7" t="s">
        <v>173</v>
      </c>
      <c r="D111" s="30">
        <v>30000</v>
      </c>
    </row>
    <row r="112" spans="1:4" ht="15" customHeight="1" x14ac:dyDescent="0.3">
      <c r="A112" s="7">
        <v>54</v>
      </c>
      <c r="B112" s="10" t="s">
        <v>176</v>
      </c>
      <c r="C112" s="7" t="s">
        <v>177</v>
      </c>
      <c r="D112" s="30">
        <v>30000</v>
      </c>
    </row>
    <row r="113" spans="1:4" ht="15" customHeight="1" x14ac:dyDescent="0.3">
      <c r="A113" s="7">
        <v>55</v>
      </c>
      <c r="B113" s="10" t="s">
        <v>178</v>
      </c>
      <c r="C113" s="7" t="s">
        <v>177</v>
      </c>
      <c r="D113" s="30">
        <v>40000</v>
      </c>
    </row>
    <row r="114" spans="1:4" ht="15" customHeight="1" x14ac:dyDescent="0.3">
      <c r="A114" s="7">
        <v>56</v>
      </c>
      <c r="B114" s="10" t="s">
        <v>179</v>
      </c>
      <c r="C114" s="7" t="s">
        <v>177</v>
      </c>
      <c r="D114" s="30">
        <v>45000</v>
      </c>
    </row>
    <row r="115" spans="1:4" ht="15" customHeight="1" x14ac:dyDescent="0.3">
      <c r="A115" s="7">
        <v>57</v>
      </c>
      <c r="B115" s="10" t="s">
        <v>180</v>
      </c>
      <c r="C115" s="7" t="s">
        <v>181</v>
      </c>
      <c r="D115" s="30">
        <v>80000</v>
      </c>
    </row>
    <row r="116" spans="1:4" ht="15" customHeight="1" x14ac:dyDescent="0.3">
      <c r="A116" s="7">
        <v>58</v>
      </c>
      <c r="B116" s="10" t="s">
        <v>182</v>
      </c>
      <c r="C116" s="7" t="s">
        <v>177</v>
      </c>
      <c r="D116" s="30">
        <v>30000</v>
      </c>
    </row>
    <row r="117" spans="1:4" ht="15" customHeight="1" x14ac:dyDescent="0.3">
      <c r="A117" s="7">
        <v>59</v>
      </c>
      <c r="B117" s="10" t="s">
        <v>183</v>
      </c>
      <c r="C117" s="7" t="s">
        <v>177</v>
      </c>
      <c r="D117" s="30">
        <v>40000</v>
      </c>
    </row>
    <row r="118" spans="1:4" ht="15" customHeight="1" x14ac:dyDescent="0.3">
      <c r="A118" s="7">
        <v>60</v>
      </c>
      <c r="B118" s="11" t="s">
        <v>184</v>
      </c>
      <c r="C118" s="7" t="s">
        <v>177</v>
      </c>
      <c r="D118" s="30">
        <v>30000</v>
      </c>
    </row>
    <row r="119" spans="1:4" ht="15" customHeight="1" x14ac:dyDescent="0.3">
      <c r="A119" s="7">
        <v>61</v>
      </c>
      <c r="B119" s="11" t="s">
        <v>185</v>
      </c>
      <c r="C119" s="7" t="s">
        <v>177</v>
      </c>
      <c r="D119" s="30">
        <v>40000</v>
      </c>
    </row>
    <row r="120" spans="1:4" ht="15" customHeight="1" x14ac:dyDescent="0.3">
      <c r="A120" s="7">
        <v>62</v>
      </c>
      <c r="B120" s="11" t="s">
        <v>186</v>
      </c>
      <c r="C120" s="7" t="s">
        <v>177</v>
      </c>
      <c r="D120" s="30">
        <v>30000</v>
      </c>
    </row>
    <row r="121" spans="1:4" ht="15" customHeight="1" x14ac:dyDescent="0.3">
      <c r="A121" s="7">
        <v>63</v>
      </c>
      <c r="B121" s="11" t="s">
        <v>187</v>
      </c>
      <c r="C121" s="7" t="s">
        <v>177</v>
      </c>
      <c r="D121" s="30">
        <v>30000</v>
      </c>
    </row>
    <row r="122" spans="1:4" ht="15" customHeight="1" x14ac:dyDescent="0.3">
      <c r="A122" s="7">
        <v>64</v>
      </c>
      <c r="B122" s="11" t="s">
        <v>188</v>
      </c>
      <c r="C122" s="7" t="s">
        <v>181</v>
      </c>
      <c r="D122" s="30">
        <v>80000</v>
      </c>
    </row>
    <row r="123" spans="1:4" ht="15" customHeight="1" x14ac:dyDescent="0.3">
      <c r="A123" s="7">
        <v>65</v>
      </c>
      <c r="B123" s="11" t="s">
        <v>189</v>
      </c>
      <c r="C123" s="7" t="s">
        <v>177</v>
      </c>
      <c r="D123" s="30">
        <v>50000</v>
      </c>
    </row>
    <row r="124" spans="1:4" ht="15" customHeight="1" x14ac:dyDescent="0.3">
      <c r="A124" s="7">
        <v>66</v>
      </c>
      <c r="B124" s="11" t="s">
        <v>190</v>
      </c>
      <c r="C124" s="7" t="s">
        <v>177</v>
      </c>
      <c r="D124" s="30">
        <v>50000</v>
      </c>
    </row>
    <row r="125" spans="1:4" ht="15" customHeight="1" x14ac:dyDescent="0.3">
      <c r="A125" s="7">
        <v>67</v>
      </c>
      <c r="B125" s="10" t="s">
        <v>191</v>
      </c>
      <c r="C125" s="7" t="s">
        <v>177</v>
      </c>
      <c r="D125" s="30">
        <v>30000</v>
      </c>
    </row>
    <row r="126" spans="1:4" ht="15" customHeight="1" x14ac:dyDescent="0.3">
      <c r="A126" s="7">
        <v>68</v>
      </c>
      <c r="B126" s="11" t="s">
        <v>192</v>
      </c>
      <c r="C126" s="7" t="s">
        <v>193</v>
      </c>
      <c r="D126" s="30">
        <v>80000</v>
      </c>
    </row>
    <row r="127" spans="1:4" ht="15" customHeight="1" x14ac:dyDescent="0.3">
      <c r="A127" s="7">
        <v>69</v>
      </c>
      <c r="B127" s="10" t="s">
        <v>194</v>
      </c>
      <c r="C127" s="7" t="s">
        <v>193</v>
      </c>
      <c r="D127" s="30">
        <v>80000</v>
      </c>
    </row>
    <row r="128" spans="1:4" ht="15" customHeight="1" x14ac:dyDescent="0.3">
      <c r="A128" s="7">
        <v>70</v>
      </c>
      <c r="B128" s="10" t="s">
        <v>195</v>
      </c>
      <c r="C128" s="7" t="s">
        <v>177</v>
      </c>
      <c r="D128" s="30">
        <v>50000</v>
      </c>
    </row>
    <row r="129" spans="1:4" ht="15" customHeight="1" x14ac:dyDescent="0.3">
      <c r="A129" s="7">
        <v>71</v>
      </c>
      <c r="B129" s="10" t="s">
        <v>196</v>
      </c>
      <c r="C129" s="7" t="s">
        <v>177</v>
      </c>
      <c r="D129" s="30">
        <v>15000</v>
      </c>
    </row>
    <row r="130" spans="1:4" ht="15" customHeight="1" x14ac:dyDescent="0.3">
      <c r="A130" s="7">
        <v>72</v>
      </c>
      <c r="B130" s="10" t="s">
        <v>197</v>
      </c>
      <c r="C130" s="7" t="s">
        <v>177</v>
      </c>
      <c r="D130" s="30">
        <v>20000</v>
      </c>
    </row>
    <row r="131" spans="1:4" ht="15" customHeight="1" x14ac:dyDescent="0.3">
      <c r="A131" s="7">
        <v>73</v>
      </c>
      <c r="B131" s="10" t="s">
        <v>198</v>
      </c>
      <c r="C131" s="7" t="s">
        <v>177</v>
      </c>
      <c r="D131" s="30">
        <v>30000</v>
      </c>
    </row>
    <row r="132" spans="1:4" ht="15" customHeight="1" x14ac:dyDescent="0.3">
      <c r="A132" s="7">
        <v>74</v>
      </c>
      <c r="B132" s="10" t="s">
        <v>199</v>
      </c>
      <c r="C132" s="7" t="s">
        <v>177</v>
      </c>
      <c r="D132" s="30">
        <v>65000</v>
      </c>
    </row>
    <row r="133" spans="1:4" ht="15" customHeight="1" x14ac:dyDescent="0.3">
      <c r="A133" s="7">
        <v>75</v>
      </c>
      <c r="B133" s="10" t="s">
        <v>200</v>
      </c>
      <c r="C133" s="7" t="s">
        <v>177</v>
      </c>
      <c r="D133" s="30">
        <v>45000</v>
      </c>
    </row>
    <row r="134" spans="1:4" ht="15" customHeight="1" x14ac:dyDescent="0.3">
      <c r="A134" s="7">
        <v>76</v>
      </c>
      <c r="B134" s="10" t="s">
        <v>201</v>
      </c>
      <c r="C134" s="7" t="s">
        <v>177</v>
      </c>
      <c r="D134" s="30">
        <v>35000</v>
      </c>
    </row>
    <row r="135" spans="1:4" ht="15" customHeight="1" x14ac:dyDescent="0.3">
      <c r="A135" s="7">
        <v>77</v>
      </c>
      <c r="B135" s="10" t="s">
        <v>202</v>
      </c>
      <c r="C135" s="7" t="s">
        <v>177</v>
      </c>
      <c r="D135" s="30">
        <v>30000</v>
      </c>
    </row>
    <row r="136" spans="1:4" ht="15" customHeight="1" x14ac:dyDescent="0.3">
      <c r="A136" s="7">
        <v>78</v>
      </c>
      <c r="B136" s="10" t="s">
        <v>203</v>
      </c>
      <c r="C136" s="7" t="s">
        <v>170</v>
      </c>
      <c r="D136" s="30">
        <v>35000</v>
      </c>
    </row>
    <row r="137" spans="1:4" ht="15" customHeight="1" x14ac:dyDescent="0.3">
      <c r="A137" s="7">
        <v>79</v>
      </c>
      <c r="B137" s="10" t="s">
        <v>204</v>
      </c>
      <c r="C137" s="7" t="s">
        <v>177</v>
      </c>
      <c r="D137" s="30">
        <v>35000</v>
      </c>
    </row>
    <row r="138" spans="1:4" ht="15" customHeight="1" x14ac:dyDescent="0.3">
      <c r="A138" s="7">
        <v>80</v>
      </c>
      <c r="B138" s="10" t="s">
        <v>205</v>
      </c>
      <c r="C138" s="7" t="s">
        <v>177</v>
      </c>
      <c r="D138" s="30">
        <v>35000</v>
      </c>
    </row>
    <row r="139" spans="1:4" ht="15" customHeight="1" x14ac:dyDescent="0.3">
      <c r="A139" s="7">
        <v>81</v>
      </c>
      <c r="B139" s="10" t="s">
        <v>206</v>
      </c>
      <c r="C139" s="7" t="s">
        <v>177</v>
      </c>
      <c r="D139" s="30">
        <v>25000</v>
      </c>
    </row>
    <row r="140" spans="1:4" ht="15" customHeight="1" x14ac:dyDescent="0.3">
      <c r="A140" s="7">
        <v>82</v>
      </c>
      <c r="B140" s="10" t="s">
        <v>207</v>
      </c>
      <c r="C140" s="7" t="s">
        <v>177</v>
      </c>
      <c r="D140" s="30">
        <v>20000</v>
      </c>
    </row>
    <row r="141" spans="1:4" ht="15" customHeight="1" x14ac:dyDescent="0.3">
      <c r="A141" s="7">
        <v>83</v>
      </c>
      <c r="B141" s="10" t="s">
        <v>208</v>
      </c>
      <c r="C141" s="7" t="s">
        <v>177</v>
      </c>
      <c r="D141" s="30">
        <v>20000</v>
      </c>
    </row>
    <row r="142" spans="1:4" ht="15" customHeight="1" x14ac:dyDescent="0.3">
      <c r="A142" s="7">
        <v>84</v>
      </c>
      <c r="B142" s="10" t="s">
        <v>209</v>
      </c>
      <c r="C142" s="7" t="s">
        <v>177</v>
      </c>
      <c r="D142" s="30">
        <v>50000</v>
      </c>
    </row>
    <row r="143" spans="1:4" ht="15" customHeight="1" x14ac:dyDescent="0.3">
      <c r="A143" s="7">
        <v>85</v>
      </c>
      <c r="B143" s="10" t="s">
        <v>210</v>
      </c>
      <c r="C143" s="7" t="s">
        <v>177</v>
      </c>
      <c r="D143" s="30">
        <v>20000</v>
      </c>
    </row>
    <row r="144" spans="1:4" ht="15" customHeight="1" x14ac:dyDescent="0.3">
      <c r="A144" s="7">
        <v>86</v>
      </c>
      <c r="B144" s="10" t="s">
        <v>211</v>
      </c>
      <c r="C144" s="7" t="s">
        <v>177</v>
      </c>
      <c r="D144" s="30">
        <v>30000</v>
      </c>
    </row>
    <row r="145" spans="1:4" ht="15" customHeight="1" x14ac:dyDescent="0.3">
      <c r="A145" s="7">
        <v>87</v>
      </c>
      <c r="B145" s="10" t="s">
        <v>212</v>
      </c>
      <c r="C145" s="7" t="s">
        <v>177</v>
      </c>
      <c r="D145" s="30">
        <v>30000</v>
      </c>
    </row>
    <row r="146" spans="1:4" ht="15" customHeight="1" x14ac:dyDescent="0.3">
      <c r="A146" s="7">
        <v>88</v>
      </c>
      <c r="B146" s="10" t="s">
        <v>213</v>
      </c>
      <c r="C146" s="7" t="s">
        <v>177</v>
      </c>
      <c r="D146" s="30">
        <v>50000</v>
      </c>
    </row>
    <row r="147" spans="1:4" ht="15" customHeight="1" x14ac:dyDescent="0.3">
      <c r="A147" s="7">
        <v>89</v>
      </c>
      <c r="B147" s="11" t="s">
        <v>214</v>
      </c>
      <c r="C147" s="7" t="s">
        <v>177</v>
      </c>
      <c r="D147" s="30">
        <v>20000</v>
      </c>
    </row>
    <row r="148" spans="1:4" ht="15" customHeight="1" x14ac:dyDescent="0.3">
      <c r="A148" s="7">
        <v>90</v>
      </c>
      <c r="B148" s="11" t="s">
        <v>215</v>
      </c>
      <c r="C148" s="7" t="s">
        <v>177</v>
      </c>
      <c r="D148" s="30">
        <v>30000</v>
      </c>
    </row>
    <row r="149" spans="1:4" ht="15" customHeight="1" x14ac:dyDescent="0.3">
      <c r="A149" s="7">
        <v>91</v>
      </c>
      <c r="B149" s="11" t="s">
        <v>216</v>
      </c>
      <c r="C149" s="7" t="s">
        <v>177</v>
      </c>
      <c r="D149" s="30">
        <v>20000</v>
      </c>
    </row>
    <row r="150" spans="1:4" ht="15" customHeight="1" x14ac:dyDescent="0.3">
      <c r="A150" s="7">
        <v>92</v>
      </c>
      <c r="B150" s="11" t="s">
        <v>217</v>
      </c>
      <c r="C150" s="7" t="s">
        <v>177</v>
      </c>
      <c r="D150" s="30">
        <v>30000</v>
      </c>
    </row>
    <row r="151" spans="1:4" ht="15" customHeight="1" x14ac:dyDescent="0.3">
      <c r="A151" s="7">
        <v>93</v>
      </c>
      <c r="B151" s="10" t="s">
        <v>218</v>
      </c>
      <c r="C151" s="7" t="s">
        <v>177</v>
      </c>
      <c r="D151" s="30">
        <v>40000</v>
      </c>
    </row>
    <row r="152" spans="1:4" ht="15" customHeight="1" x14ac:dyDescent="0.3">
      <c r="A152" s="7">
        <v>94</v>
      </c>
      <c r="B152" s="10" t="s">
        <v>219</v>
      </c>
      <c r="C152" s="7" t="s">
        <v>177</v>
      </c>
      <c r="D152" s="30">
        <v>40000</v>
      </c>
    </row>
    <row r="153" spans="1:4" ht="15" customHeight="1" x14ac:dyDescent="0.3">
      <c r="A153" s="7">
        <v>95</v>
      </c>
      <c r="B153" s="10" t="s">
        <v>220</v>
      </c>
      <c r="C153" s="7" t="s">
        <v>177</v>
      </c>
      <c r="D153" s="30">
        <v>20000</v>
      </c>
    </row>
    <row r="154" spans="1:4" ht="15" customHeight="1" x14ac:dyDescent="0.3">
      <c r="A154" s="7">
        <v>96</v>
      </c>
      <c r="B154" s="10" t="s">
        <v>221</v>
      </c>
      <c r="C154" s="7" t="s">
        <v>177</v>
      </c>
      <c r="D154" s="30">
        <v>30000</v>
      </c>
    </row>
    <row r="155" spans="1:4" ht="15" customHeight="1" x14ac:dyDescent="0.3">
      <c r="A155" s="7">
        <v>97</v>
      </c>
      <c r="B155" s="10" t="s">
        <v>222</v>
      </c>
      <c r="C155" s="7" t="s">
        <v>193</v>
      </c>
      <c r="D155" s="30">
        <v>35000</v>
      </c>
    </row>
    <row r="156" spans="1:4" ht="15" customHeight="1" x14ac:dyDescent="0.3">
      <c r="A156" s="7">
        <v>98</v>
      </c>
      <c r="B156" s="10" t="s">
        <v>223</v>
      </c>
      <c r="C156" s="7" t="s">
        <v>177</v>
      </c>
      <c r="D156" s="30">
        <v>35000</v>
      </c>
    </row>
    <row r="157" spans="1:4" ht="15" customHeight="1" x14ac:dyDescent="0.3">
      <c r="A157" s="7">
        <v>99</v>
      </c>
      <c r="B157" s="10" t="s">
        <v>224</v>
      </c>
      <c r="C157" s="7" t="s">
        <v>225</v>
      </c>
      <c r="D157" s="30">
        <v>30000</v>
      </c>
    </row>
    <row r="158" spans="1:4" ht="15" customHeight="1" x14ac:dyDescent="0.3">
      <c r="A158" s="7">
        <v>100</v>
      </c>
      <c r="B158" s="10" t="s">
        <v>226</v>
      </c>
      <c r="C158" s="7" t="s">
        <v>177</v>
      </c>
      <c r="D158" s="30">
        <v>50000</v>
      </c>
    </row>
    <row r="159" spans="1:4" ht="15" customHeight="1" x14ac:dyDescent="0.3">
      <c r="A159" s="7">
        <v>101</v>
      </c>
      <c r="B159" s="10" t="s">
        <v>227</v>
      </c>
      <c r="C159" s="7" t="s">
        <v>228</v>
      </c>
      <c r="D159" s="30">
        <v>30000</v>
      </c>
    </row>
    <row r="160" spans="1:4" ht="15" customHeight="1" x14ac:dyDescent="0.3">
      <c r="A160" s="7">
        <v>102</v>
      </c>
      <c r="B160" s="10" t="s">
        <v>229</v>
      </c>
      <c r="C160" s="7" t="s">
        <v>230</v>
      </c>
      <c r="D160" s="30">
        <v>30000</v>
      </c>
    </row>
    <row r="161" spans="1:4" ht="15" customHeight="1" x14ac:dyDescent="0.3">
      <c r="A161" s="7">
        <v>103</v>
      </c>
      <c r="B161" s="10" t="s">
        <v>231</v>
      </c>
      <c r="C161" s="7" t="s">
        <v>177</v>
      </c>
      <c r="D161" s="30">
        <v>20000</v>
      </c>
    </row>
    <row r="162" spans="1:4" ht="15" customHeight="1" x14ac:dyDescent="0.3">
      <c r="A162" s="7">
        <v>104</v>
      </c>
      <c r="B162" s="10" t="s">
        <v>232</v>
      </c>
      <c r="C162" s="7" t="s">
        <v>177</v>
      </c>
      <c r="D162" s="30">
        <v>20000</v>
      </c>
    </row>
    <row r="163" spans="1:4" ht="15" customHeight="1" x14ac:dyDescent="0.3">
      <c r="A163" s="7">
        <v>105</v>
      </c>
      <c r="B163" s="10" t="s">
        <v>233</v>
      </c>
      <c r="C163" s="7" t="s">
        <v>177</v>
      </c>
      <c r="D163" s="30">
        <v>50000</v>
      </c>
    </row>
    <row r="164" spans="1:4" ht="15" customHeight="1" x14ac:dyDescent="0.3">
      <c r="A164" s="7">
        <v>106</v>
      </c>
      <c r="B164" s="10" t="s">
        <v>234</v>
      </c>
      <c r="C164" s="7" t="s">
        <v>177</v>
      </c>
      <c r="D164" s="30">
        <v>50000</v>
      </c>
    </row>
    <row r="165" spans="1:4" ht="15" customHeight="1" x14ac:dyDescent="0.3">
      <c r="A165" s="7">
        <v>107</v>
      </c>
      <c r="B165" s="10" t="s">
        <v>235</v>
      </c>
      <c r="C165" s="7" t="s">
        <v>170</v>
      </c>
      <c r="D165" s="30">
        <v>45000</v>
      </c>
    </row>
    <row r="166" spans="1:4" ht="15" customHeight="1" x14ac:dyDescent="0.3">
      <c r="A166" s="7">
        <v>108</v>
      </c>
      <c r="B166" s="10" t="s">
        <v>236</v>
      </c>
      <c r="C166" s="7" t="s">
        <v>177</v>
      </c>
      <c r="D166" s="30">
        <v>30000</v>
      </c>
    </row>
    <row r="167" spans="1:4" ht="15" customHeight="1" x14ac:dyDescent="0.3">
      <c r="A167" s="7">
        <v>109</v>
      </c>
      <c r="B167" s="10" t="s">
        <v>237</v>
      </c>
      <c r="C167" s="7" t="s">
        <v>170</v>
      </c>
      <c r="D167" s="30">
        <v>45000</v>
      </c>
    </row>
    <row r="168" spans="1:4" ht="15" customHeight="1" x14ac:dyDescent="0.3">
      <c r="A168" s="7">
        <v>110</v>
      </c>
      <c r="B168" s="10" t="s">
        <v>238</v>
      </c>
      <c r="C168" s="7" t="s">
        <v>239</v>
      </c>
      <c r="D168" s="30">
        <v>30000</v>
      </c>
    </row>
    <row r="169" spans="1:4" ht="15" customHeight="1" x14ac:dyDescent="0.3">
      <c r="A169" s="7">
        <v>111</v>
      </c>
      <c r="B169" s="10" t="s">
        <v>240</v>
      </c>
      <c r="C169" s="7" t="s">
        <v>170</v>
      </c>
      <c r="D169" s="30">
        <v>35000</v>
      </c>
    </row>
    <row r="170" spans="1:4" ht="15" customHeight="1" x14ac:dyDescent="0.3">
      <c r="A170" s="7">
        <v>112</v>
      </c>
      <c r="B170" s="10" t="s">
        <v>241</v>
      </c>
      <c r="C170" s="7" t="s">
        <v>177</v>
      </c>
      <c r="D170" s="30">
        <v>50000</v>
      </c>
    </row>
    <row r="171" spans="1:4" ht="15" customHeight="1" x14ac:dyDescent="0.3">
      <c r="A171" s="7">
        <v>113</v>
      </c>
      <c r="B171" s="10" t="s">
        <v>242</v>
      </c>
      <c r="C171" s="7" t="s">
        <v>177</v>
      </c>
      <c r="D171" s="30">
        <v>40000</v>
      </c>
    </row>
    <row r="172" spans="1:4" ht="15" customHeight="1" x14ac:dyDescent="0.3">
      <c r="A172" s="7">
        <v>114</v>
      </c>
      <c r="B172" s="10" t="s">
        <v>243</v>
      </c>
      <c r="C172" s="7" t="s">
        <v>177</v>
      </c>
      <c r="D172" s="30">
        <v>50000</v>
      </c>
    </row>
    <row r="173" spans="1:4" ht="15" customHeight="1" x14ac:dyDescent="0.3">
      <c r="A173" s="7">
        <v>115</v>
      </c>
      <c r="B173" s="10" t="s">
        <v>244</v>
      </c>
      <c r="C173" s="7" t="s">
        <v>177</v>
      </c>
      <c r="D173" s="30">
        <v>30000</v>
      </c>
    </row>
    <row r="174" spans="1:4" ht="15" customHeight="1" x14ac:dyDescent="0.3">
      <c r="A174" s="7">
        <v>116</v>
      </c>
      <c r="B174" s="10" t="s">
        <v>245</v>
      </c>
      <c r="C174" s="7" t="s">
        <v>239</v>
      </c>
      <c r="D174" s="30">
        <v>50000</v>
      </c>
    </row>
    <row r="175" spans="1:4" ht="15" customHeight="1" x14ac:dyDescent="0.3">
      <c r="A175" s="7">
        <v>117</v>
      </c>
      <c r="B175" s="10" t="s">
        <v>246</v>
      </c>
      <c r="C175" s="7" t="s">
        <v>239</v>
      </c>
      <c r="D175" s="30">
        <v>50000</v>
      </c>
    </row>
    <row r="176" spans="1:4" ht="15" customHeight="1" x14ac:dyDescent="0.3">
      <c r="A176" s="7">
        <v>118</v>
      </c>
      <c r="B176" s="10" t="s">
        <v>247</v>
      </c>
      <c r="C176" s="7" t="s">
        <v>239</v>
      </c>
      <c r="D176" s="30">
        <v>50000</v>
      </c>
    </row>
    <row r="177" spans="1:4" ht="15" customHeight="1" x14ac:dyDescent="0.3">
      <c r="A177" s="7">
        <v>119</v>
      </c>
      <c r="B177" s="10" t="s">
        <v>248</v>
      </c>
      <c r="C177" s="7" t="s">
        <v>239</v>
      </c>
      <c r="D177" s="30">
        <v>50000</v>
      </c>
    </row>
    <row r="178" spans="1:4" ht="15" customHeight="1" x14ac:dyDescent="0.3">
      <c r="A178" s="7">
        <v>120</v>
      </c>
      <c r="B178" s="10" t="s">
        <v>249</v>
      </c>
      <c r="C178" s="7" t="s">
        <v>177</v>
      </c>
      <c r="D178" s="30">
        <v>45000</v>
      </c>
    </row>
    <row r="179" spans="1:4" ht="15" customHeight="1" x14ac:dyDescent="0.3">
      <c r="A179" s="7">
        <v>121</v>
      </c>
      <c r="B179" s="10" t="s">
        <v>250</v>
      </c>
      <c r="C179" s="7" t="s">
        <v>239</v>
      </c>
      <c r="D179" s="30">
        <v>50000</v>
      </c>
    </row>
    <row r="180" spans="1:4" ht="15" customHeight="1" x14ac:dyDescent="0.3">
      <c r="A180" s="7">
        <v>122</v>
      </c>
      <c r="B180" s="10" t="s">
        <v>251</v>
      </c>
      <c r="C180" s="7" t="s">
        <v>252</v>
      </c>
      <c r="D180" s="30">
        <v>20000</v>
      </c>
    </row>
    <row r="181" spans="1:4" ht="15" customHeight="1" x14ac:dyDescent="0.3">
      <c r="A181" s="7">
        <v>123</v>
      </c>
      <c r="B181" s="10" t="s">
        <v>253</v>
      </c>
      <c r="C181" s="7" t="s">
        <v>239</v>
      </c>
      <c r="D181" s="30">
        <v>50000</v>
      </c>
    </row>
    <row r="182" spans="1:4" ht="15" customHeight="1" x14ac:dyDescent="0.3">
      <c r="A182" s="7">
        <v>124</v>
      </c>
      <c r="B182" s="10" t="s">
        <v>254</v>
      </c>
      <c r="C182" s="7" t="s">
        <v>252</v>
      </c>
      <c r="D182" s="30">
        <v>35000</v>
      </c>
    </row>
    <row r="183" spans="1:4" ht="15" customHeight="1" x14ac:dyDescent="0.3">
      <c r="A183" s="7">
        <v>125</v>
      </c>
      <c r="B183" s="10" t="s">
        <v>255</v>
      </c>
      <c r="C183" s="7" t="s">
        <v>239</v>
      </c>
      <c r="D183" s="30">
        <v>50000</v>
      </c>
    </row>
    <row r="184" spans="1:4" ht="15" customHeight="1" x14ac:dyDescent="0.3">
      <c r="A184" s="7">
        <v>126</v>
      </c>
      <c r="B184" s="10" t="s">
        <v>256</v>
      </c>
      <c r="C184" s="7" t="s">
        <v>252</v>
      </c>
      <c r="D184" s="30">
        <v>15000</v>
      </c>
    </row>
    <row r="185" spans="1:4" ht="15" customHeight="1" x14ac:dyDescent="0.3">
      <c r="A185" s="7">
        <v>127</v>
      </c>
      <c r="B185" s="10" t="s">
        <v>257</v>
      </c>
      <c r="C185" s="7" t="s">
        <v>258</v>
      </c>
      <c r="D185" s="30">
        <v>90000</v>
      </c>
    </row>
    <row r="186" spans="1:4" ht="15" customHeight="1" x14ac:dyDescent="0.3">
      <c r="A186" s="7">
        <v>128</v>
      </c>
      <c r="B186" s="10" t="s">
        <v>259</v>
      </c>
      <c r="C186" s="7" t="s">
        <v>239</v>
      </c>
      <c r="D186" s="30">
        <v>45000</v>
      </c>
    </row>
    <row r="187" spans="1:4" ht="15" customHeight="1" x14ac:dyDescent="0.3">
      <c r="A187" s="7">
        <v>129</v>
      </c>
      <c r="B187" s="10" t="s">
        <v>260</v>
      </c>
      <c r="C187" s="7" t="s">
        <v>261</v>
      </c>
      <c r="D187" s="30">
        <v>80000</v>
      </c>
    </row>
    <row r="188" spans="1:4" ht="15" customHeight="1" x14ac:dyDescent="0.3">
      <c r="A188" s="7">
        <v>130</v>
      </c>
      <c r="B188" s="10" t="s">
        <v>262</v>
      </c>
      <c r="C188" s="7" t="s">
        <v>263</v>
      </c>
      <c r="D188" s="30">
        <v>50000</v>
      </c>
    </row>
    <row r="189" spans="1:4" ht="15" customHeight="1" x14ac:dyDescent="0.3">
      <c r="A189" s="7">
        <v>131</v>
      </c>
      <c r="B189" s="10" t="s">
        <v>264</v>
      </c>
      <c r="C189" s="7" t="s">
        <v>252</v>
      </c>
      <c r="D189" s="30">
        <v>15000</v>
      </c>
    </row>
    <row r="190" spans="1:4" ht="15" customHeight="1" x14ac:dyDescent="0.3">
      <c r="A190" s="7">
        <v>132</v>
      </c>
      <c r="B190" s="10" t="s">
        <v>265</v>
      </c>
      <c r="C190" s="7" t="s">
        <v>177</v>
      </c>
      <c r="D190" s="30">
        <v>70000</v>
      </c>
    </row>
    <row r="191" spans="1:4" ht="15" customHeight="1" x14ac:dyDescent="0.3">
      <c r="A191" s="7">
        <v>133</v>
      </c>
      <c r="B191" s="10" t="s">
        <v>266</v>
      </c>
      <c r="C191" s="7" t="s">
        <v>177</v>
      </c>
      <c r="D191" s="30">
        <v>30000</v>
      </c>
    </row>
    <row r="192" spans="1:4" ht="15" customHeight="1" x14ac:dyDescent="0.3">
      <c r="A192" s="7">
        <v>134</v>
      </c>
      <c r="B192" s="10" t="s">
        <v>267</v>
      </c>
      <c r="C192" s="7" t="s">
        <v>177</v>
      </c>
      <c r="D192" s="30">
        <v>30000</v>
      </c>
    </row>
    <row r="193" spans="1:4" ht="15" customHeight="1" x14ac:dyDescent="0.3">
      <c r="A193" s="7">
        <v>135</v>
      </c>
      <c r="B193" s="10" t="s">
        <v>268</v>
      </c>
      <c r="C193" s="7" t="s">
        <v>177</v>
      </c>
      <c r="D193" s="30">
        <v>35000</v>
      </c>
    </row>
    <row r="194" spans="1:4" ht="15" customHeight="1" x14ac:dyDescent="0.3">
      <c r="A194" s="7">
        <v>136</v>
      </c>
      <c r="B194" s="10" t="s">
        <v>269</v>
      </c>
      <c r="C194" s="7" t="s">
        <v>177</v>
      </c>
      <c r="D194" s="30">
        <v>35000</v>
      </c>
    </row>
    <row r="195" spans="1:4" ht="15" customHeight="1" x14ac:dyDescent="0.3">
      <c r="A195" s="7">
        <v>137</v>
      </c>
      <c r="B195" s="10" t="s">
        <v>270</v>
      </c>
      <c r="C195" s="7" t="s">
        <v>177</v>
      </c>
      <c r="D195" s="30">
        <v>35000</v>
      </c>
    </row>
    <row r="196" spans="1:4" ht="15" customHeight="1" x14ac:dyDescent="0.3">
      <c r="A196" s="7">
        <v>138</v>
      </c>
      <c r="B196" s="10" t="s">
        <v>271</v>
      </c>
      <c r="C196" s="7" t="s">
        <v>177</v>
      </c>
      <c r="D196" s="30">
        <v>70000</v>
      </c>
    </row>
    <row r="197" spans="1:4" ht="15" customHeight="1" x14ac:dyDescent="0.3">
      <c r="A197" s="7">
        <v>139</v>
      </c>
      <c r="B197" s="10" t="s">
        <v>272</v>
      </c>
      <c r="C197" s="7" t="s">
        <v>177</v>
      </c>
      <c r="D197" s="30">
        <v>35000</v>
      </c>
    </row>
    <row r="198" spans="1:4" ht="15" customHeight="1" x14ac:dyDescent="0.3">
      <c r="A198" s="7">
        <v>140</v>
      </c>
      <c r="B198" s="10" t="s">
        <v>273</v>
      </c>
      <c r="C198" s="7" t="s">
        <v>177</v>
      </c>
      <c r="D198" s="30">
        <v>40000</v>
      </c>
    </row>
    <row r="199" spans="1:4" ht="15" customHeight="1" x14ac:dyDescent="0.3">
      <c r="A199" s="7">
        <v>141</v>
      </c>
      <c r="B199" s="10" t="s">
        <v>274</v>
      </c>
      <c r="C199" s="7" t="s">
        <v>177</v>
      </c>
      <c r="D199" s="30">
        <v>20000</v>
      </c>
    </row>
    <row r="200" spans="1:4" ht="15" customHeight="1" x14ac:dyDescent="0.3">
      <c r="A200" s="7">
        <v>142</v>
      </c>
      <c r="B200" s="10" t="s">
        <v>275</v>
      </c>
      <c r="C200" s="7" t="s">
        <v>177</v>
      </c>
      <c r="D200" s="30">
        <v>25000</v>
      </c>
    </row>
    <row r="201" spans="1:4" ht="15" customHeight="1" x14ac:dyDescent="0.3">
      <c r="A201" s="7">
        <v>143</v>
      </c>
      <c r="B201" s="10" t="s">
        <v>276</v>
      </c>
      <c r="C201" s="7" t="s">
        <v>177</v>
      </c>
      <c r="D201" s="30">
        <v>30000</v>
      </c>
    </row>
    <row r="202" spans="1:4" ht="15" customHeight="1" x14ac:dyDescent="0.3">
      <c r="A202" s="7">
        <v>144</v>
      </c>
      <c r="B202" s="10" t="s">
        <v>277</v>
      </c>
      <c r="C202" s="7" t="s">
        <v>177</v>
      </c>
      <c r="D202" s="30">
        <v>35000</v>
      </c>
    </row>
    <row r="203" spans="1:4" ht="15" customHeight="1" x14ac:dyDescent="0.3">
      <c r="A203" s="7">
        <v>145</v>
      </c>
      <c r="B203" s="10" t="s">
        <v>278</v>
      </c>
      <c r="C203" s="7" t="s">
        <v>177</v>
      </c>
      <c r="D203" s="30">
        <v>20000</v>
      </c>
    </row>
    <row r="204" spans="1:4" ht="15" customHeight="1" x14ac:dyDescent="0.3">
      <c r="A204" s="7">
        <v>146</v>
      </c>
      <c r="B204" s="10" t="s">
        <v>279</v>
      </c>
      <c r="C204" s="7" t="s">
        <v>177</v>
      </c>
      <c r="D204" s="30">
        <v>35000</v>
      </c>
    </row>
    <row r="205" spans="1:4" ht="15" customHeight="1" x14ac:dyDescent="0.3">
      <c r="A205" s="7">
        <v>147</v>
      </c>
      <c r="B205" s="10" t="s">
        <v>280</v>
      </c>
      <c r="C205" s="7" t="s">
        <v>177</v>
      </c>
      <c r="D205" s="30">
        <v>35000</v>
      </c>
    </row>
    <row r="206" spans="1:4" ht="15" customHeight="1" x14ac:dyDescent="0.3">
      <c r="A206" s="7">
        <v>148</v>
      </c>
      <c r="B206" s="10" t="s">
        <v>281</v>
      </c>
      <c r="C206" s="7" t="s">
        <v>177</v>
      </c>
      <c r="D206" s="30">
        <v>30000</v>
      </c>
    </row>
    <row r="207" spans="1:4" ht="15" customHeight="1" x14ac:dyDescent="0.3">
      <c r="A207" s="7">
        <v>149</v>
      </c>
      <c r="B207" s="10" t="s">
        <v>282</v>
      </c>
      <c r="C207" s="7" t="s">
        <v>177</v>
      </c>
      <c r="D207" s="30">
        <v>35000</v>
      </c>
    </row>
    <row r="208" spans="1:4" ht="15" customHeight="1" x14ac:dyDescent="0.3">
      <c r="A208" s="7">
        <v>150</v>
      </c>
      <c r="B208" s="10" t="s">
        <v>283</v>
      </c>
      <c r="C208" s="7" t="s">
        <v>177</v>
      </c>
      <c r="D208" s="30">
        <v>25000</v>
      </c>
    </row>
    <row r="209" spans="1:4" ht="15" customHeight="1" x14ac:dyDescent="0.3">
      <c r="A209" s="7">
        <v>151</v>
      </c>
      <c r="B209" s="10" t="s">
        <v>284</v>
      </c>
      <c r="C209" s="7" t="s">
        <v>177</v>
      </c>
      <c r="D209" s="30">
        <v>50000</v>
      </c>
    </row>
    <row r="210" spans="1:4" ht="15" customHeight="1" x14ac:dyDescent="0.3">
      <c r="A210" s="7">
        <v>152</v>
      </c>
      <c r="B210" s="10" t="s">
        <v>285</v>
      </c>
      <c r="C210" s="7" t="s">
        <v>177</v>
      </c>
      <c r="D210" s="30">
        <v>30000</v>
      </c>
    </row>
    <row r="211" spans="1:4" ht="15" customHeight="1" x14ac:dyDescent="0.3">
      <c r="A211" s="7">
        <v>153</v>
      </c>
      <c r="B211" s="11" t="s">
        <v>286</v>
      </c>
      <c r="C211" s="7" t="s">
        <v>181</v>
      </c>
      <c r="D211" s="30">
        <v>25000</v>
      </c>
    </row>
    <row r="212" spans="1:4" ht="15" customHeight="1" x14ac:dyDescent="0.3">
      <c r="A212" s="7">
        <v>154</v>
      </c>
      <c r="B212" s="11" t="s">
        <v>287</v>
      </c>
      <c r="C212" s="7" t="s">
        <v>181</v>
      </c>
      <c r="D212" s="30">
        <v>15000</v>
      </c>
    </row>
    <row r="213" spans="1:4" ht="15" customHeight="1" x14ac:dyDescent="0.3">
      <c r="A213" s="7">
        <v>155</v>
      </c>
      <c r="B213" s="11" t="s">
        <v>288</v>
      </c>
      <c r="C213" s="7" t="s">
        <v>289</v>
      </c>
      <c r="D213" s="30">
        <v>35000</v>
      </c>
    </row>
    <row r="214" spans="1:4" ht="15" customHeight="1" x14ac:dyDescent="0.3">
      <c r="A214" s="7">
        <v>156</v>
      </c>
      <c r="B214" s="11" t="s">
        <v>290</v>
      </c>
      <c r="C214" s="7" t="s">
        <v>261</v>
      </c>
      <c r="D214" s="30">
        <v>25000</v>
      </c>
    </row>
    <row r="215" spans="1:4" ht="15" customHeight="1" x14ac:dyDescent="0.3">
      <c r="A215" s="7">
        <v>157</v>
      </c>
      <c r="B215" s="10" t="s">
        <v>291</v>
      </c>
      <c r="C215" s="7" t="s">
        <v>181</v>
      </c>
      <c r="D215" s="30">
        <v>25000</v>
      </c>
    </row>
    <row r="216" spans="1:4" ht="15" customHeight="1" x14ac:dyDescent="0.3">
      <c r="A216" s="7">
        <v>158</v>
      </c>
      <c r="B216" s="10" t="s">
        <v>292</v>
      </c>
      <c r="C216" s="7" t="s">
        <v>181</v>
      </c>
      <c r="D216" s="30">
        <v>15000</v>
      </c>
    </row>
    <row r="217" spans="1:4" ht="15" customHeight="1" x14ac:dyDescent="0.3">
      <c r="A217" s="7">
        <v>159</v>
      </c>
      <c r="B217" s="10" t="s">
        <v>293</v>
      </c>
      <c r="C217" s="7" t="s">
        <v>294</v>
      </c>
      <c r="D217" s="30">
        <v>20000</v>
      </c>
    </row>
    <row r="218" spans="1:4" ht="15" customHeight="1" x14ac:dyDescent="0.3">
      <c r="A218" s="7">
        <v>160</v>
      </c>
      <c r="B218" s="10" t="s">
        <v>295</v>
      </c>
      <c r="C218" s="7" t="s">
        <v>296</v>
      </c>
      <c r="D218" s="30">
        <v>20000</v>
      </c>
    </row>
    <row r="219" spans="1:4" ht="15" customHeight="1" x14ac:dyDescent="0.3">
      <c r="A219" s="7">
        <v>161</v>
      </c>
      <c r="B219" s="10" t="s">
        <v>297</v>
      </c>
      <c r="C219" s="7" t="s">
        <v>193</v>
      </c>
      <c r="D219" s="30">
        <v>50000</v>
      </c>
    </row>
    <row r="220" spans="1:4" ht="15" customHeight="1" x14ac:dyDescent="0.3">
      <c r="A220" s="14">
        <v>162</v>
      </c>
      <c r="B220" s="15" t="s">
        <v>298</v>
      </c>
      <c r="C220" s="14" t="s">
        <v>181</v>
      </c>
      <c r="D220" s="27">
        <v>20000</v>
      </c>
    </row>
    <row r="221" spans="1:4" ht="15" customHeight="1" x14ac:dyDescent="0.3">
      <c r="B221" s="37" t="s">
        <v>327</v>
      </c>
      <c r="C221" s="37"/>
      <c r="D221" s="28">
        <f>SUM(D59:D220)</f>
        <v>6192000</v>
      </c>
    </row>
    <row r="223" spans="1:4" ht="19.95" customHeight="1" x14ac:dyDescent="0.3">
      <c r="A223" s="16" t="s">
        <v>326</v>
      </c>
      <c r="B223" s="12" t="s">
        <v>299</v>
      </c>
      <c r="C223" s="13" t="s">
        <v>64</v>
      </c>
      <c r="D223" s="29" t="s">
        <v>65</v>
      </c>
    </row>
    <row r="224" spans="1:4" ht="15" customHeight="1" x14ac:dyDescent="0.3">
      <c r="A224" s="7">
        <v>1</v>
      </c>
      <c r="B224" s="7" t="s">
        <v>300</v>
      </c>
      <c r="C224" s="7">
        <v>1</v>
      </c>
      <c r="D224" s="30">
        <v>800000</v>
      </c>
    </row>
    <row r="225" spans="1:4" ht="15" customHeight="1" x14ac:dyDescent="0.3">
      <c r="A225" s="7">
        <v>2</v>
      </c>
      <c r="B225" s="7" t="s">
        <v>67</v>
      </c>
      <c r="C225" s="7">
        <v>1</v>
      </c>
      <c r="D225" s="30">
        <v>100000</v>
      </c>
    </row>
    <row r="226" spans="1:4" ht="15" customHeight="1" x14ac:dyDescent="0.3">
      <c r="A226" s="7">
        <v>3</v>
      </c>
      <c r="B226" s="7" t="s">
        <v>68</v>
      </c>
      <c r="C226" s="7" t="s">
        <v>301</v>
      </c>
      <c r="D226" s="30">
        <v>25000</v>
      </c>
    </row>
    <row r="227" spans="1:4" ht="15" customHeight="1" x14ac:dyDescent="0.3">
      <c r="A227" s="7">
        <v>4</v>
      </c>
      <c r="B227" s="7" t="s">
        <v>127</v>
      </c>
      <c r="C227" s="7">
        <v>10</v>
      </c>
      <c r="D227" s="30">
        <v>10000</v>
      </c>
    </row>
    <row r="228" spans="1:4" ht="15" customHeight="1" x14ac:dyDescent="0.3">
      <c r="A228" s="7">
        <v>5</v>
      </c>
      <c r="B228" s="7" t="s">
        <v>128</v>
      </c>
      <c r="C228" s="7">
        <v>20</v>
      </c>
      <c r="D228" s="30">
        <v>10000</v>
      </c>
    </row>
    <row r="229" spans="1:4" ht="15" customHeight="1" x14ac:dyDescent="0.3">
      <c r="A229" s="7">
        <v>6</v>
      </c>
      <c r="B229" s="7" t="s">
        <v>129</v>
      </c>
      <c r="C229" s="7">
        <v>20</v>
      </c>
      <c r="D229" s="30">
        <v>5000</v>
      </c>
    </row>
    <row r="230" spans="1:4" ht="15" customHeight="1" x14ac:dyDescent="0.3">
      <c r="A230" s="7">
        <v>7</v>
      </c>
      <c r="B230" s="7" t="s">
        <v>130</v>
      </c>
      <c r="C230" s="7">
        <v>20</v>
      </c>
      <c r="D230" s="30">
        <v>5000</v>
      </c>
    </row>
    <row r="231" spans="1:4" ht="15" customHeight="1" x14ac:dyDescent="0.3">
      <c r="A231" s="7">
        <v>8</v>
      </c>
      <c r="B231" s="7" t="s">
        <v>302</v>
      </c>
      <c r="C231" s="7">
        <v>20</v>
      </c>
      <c r="D231" s="30">
        <v>5000</v>
      </c>
    </row>
    <row r="232" spans="1:4" ht="15" customHeight="1" x14ac:dyDescent="0.3">
      <c r="A232" s="7">
        <v>9</v>
      </c>
      <c r="B232" s="7" t="s">
        <v>303</v>
      </c>
      <c r="C232" s="7">
        <v>1</v>
      </c>
      <c r="D232" s="30">
        <v>200000</v>
      </c>
    </row>
    <row r="233" spans="1:4" ht="15" customHeight="1" x14ac:dyDescent="0.3">
      <c r="A233" s="7">
        <v>10</v>
      </c>
      <c r="B233" s="7" t="s">
        <v>304</v>
      </c>
      <c r="C233" s="7">
        <v>2</v>
      </c>
      <c r="D233" s="30">
        <v>800000</v>
      </c>
    </row>
    <row r="234" spans="1:4" ht="15" customHeight="1" x14ac:dyDescent="0.3">
      <c r="A234" s="7">
        <v>11</v>
      </c>
      <c r="B234" s="7" t="s">
        <v>132</v>
      </c>
      <c r="C234" s="7">
        <v>10</v>
      </c>
      <c r="D234" s="30">
        <v>10000</v>
      </c>
    </row>
    <row r="235" spans="1:4" ht="15" customHeight="1" x14ac:dyDescent="0.3">
      <c r="A235" s="7">
        <v>12</v>
      </c>
      <c r="B235" s="7" t="s">
        <v>133</v>
      </c>
      <c r="C235" s="7" t="s">
        <v>134</v>
      </c>
      <c r="D235" s="30">
        <v>60000</v>
      </c>
    </row>
    <row r="236" spans="1:4" ht="15" customHeight="1" x14ac:dyDescent="0.3">
      <c r="A236" s="7">
        <v>13</v>
      </c>
      <c r="B236" s="7" t="s">
        <v>305</v>
      </c>
      <c r="C236" s="7" t="s">
        <v>69</v>
      </c>
      <c r="D236" s="30">
        <v>50000</v>
      </c>
    </row>
    <row r="237" spans="1:4" ht="15" customHeight="1" x14ac:dyDescent="0.3">
      <c r="A237" s="7">
        <v>14</v>
      </c>
      <c r="B237" s="7" t="s">
        <v>78</v>
      </c>
      <c r="C237" s="7">
        <v>10</v>
      </c>
      <c r="D237" s="30">
        <v>25000</v>
      </c>
    </row>
    <row r="238" spans="1:4" ht="15" customHeight="1" x14ac:dyDescent="0.3">
      <c r="A238" s="7">
        <v>15</v>
      </c>
      <c r="B238" s="7" t="s">
        <v>79</v>
      </c>
      <c r="C238" s="7" t="s">
        <v>80</v>
      </c>
      <c r="D238" s="30">
        <v>10000</v>
      </c>
    </row>
    <row r="239" spans="1:4" ht="15" customHeight="1" x14ac:dyDescent="0.3">
      <c r="A239" s="7">
        <v>16</v>
      </c>
      <c r="B239" s="7" t="s">
        <v>135</v>
      </c>
      <c r="C239" s="7">
        <v>5</v>
      </c>
      <c r="D239" s="30">
        <v>10000</v>
      </c>
    </row>
    <row r="240" spans="1:4" ht="15" customHeight="1" x14ac:dyDescent="0.3">
      <c r="A240" s="7">
        <v>17</v>
      </c>
      <c r="B240" s="7" t="s">
        <v>136</v>
      </c>
      <c r="C240" s="7">
        <v>5</v>
      </c>
      <c r="D240" s="30">
        <v>20000</v>
      </c>
    </row>
    <row r="241" spans="1:4" ht="15" customHeight="1" x14ac:dyDescent="0.3">
      <c r="A241" s="7">
        <v>18</v>
      </c>
      <c r="B241" s="7" t="s">
        <v>137</v>
      </c>
      <c r="C241" s="7">
        <v>10</v>
      </c>
      <c r="D241" s="30">
        <v>30000</v>
      </c>
    </row>
    <row r="242" spans="1:4" ht="15" customHeight="1" x14ac:dyDescent="0.3">
      <c r="A242" s="7">
        <v>19</v>
      </c>
      <c r="B242" s="7" t="s">
        <v>138</v>
      </c>
      <c r="C242" s="7">
        <v>10</v>
      </c>
      <c r="D242" s="30">
        <v>5000</v>
      </c>
    </row>
    <row r="243" spans="1:4" ht="15" customHeight="1" x14ac:dyDescent="0.3">
      <c r="A243" s="7">
        <v>20</v>
      </c>
      <c r="B243" s="7" t="s">
        <v>306</v>
      </c>
      <c r="C243" s="7">
        <v>10</v>
      </c>
      <c r="D243" s="30">
        <v>10000</v>
      </c>
    </row>
    <row r="244" spans="1:4" ht="15" customHeight="1" x14ac:dyDescent="0.3">
      <c r="A244" s="7">
        <v>21</v>
      </c>
      <c r="B244" s="7" t="s">
        <v>307</v>
      </c>
      <c r="C244" s="7">
        <v>4</v>
      </c>
      <c r="D244" s="30">
        <v>40000</v>
      </c>
    </row>
    <row r="245" spans="1:4" ht="15" customHeight="1" x14ac:dyDescent="0.3">
      <c r="A245" s="7">
        <v>22</v>
      </c>
      <c r="B245" s="7" t="s">
        <v>308</v>
      </c>
      <c r="C245" s="7">
        <v>5</v>
      </c>
      <c r="D245" s="30">
        <v>30000</v>
      </c>
    </row>
    <row r="246" spans="1:4" ht="15" customHeight="1" x14ac:dyDescent="0.3">
      <c r="A246" s="7">
        <v>23</v>
      </c>
      <c r="B246" s="7" t="s">
        <v>88</v>
      </c>
      <c r="C246" s="7">
        <v>1</v>
      </c>
      <c r="D246" s="30">
        <v>250000</v>
      </c>
    </row>
    <row r="247" spans="1:4" ht="15" customHeight="1" x14ac:dyDescent="0.3">
      <c r="A247" s="7">
        <v>24</v>
      </c>
      <c r="B247" s="7" t="s">
        <v>309</v>
      </c>
      <c r="C247" s="7">
        <v>10</v>
      </c>
      <c r="D247" s="30">
        <v>10000</v>
      </c>
    </row>
    <row r="248" spans="1:4" ht="15" customHeight="1" x14ac:dyDescent="0.3">
      <c r="A248" s="7">
        <v>25</v>
      </c>
      <c r="B248" s="7" t="s">
        <v>97</v>
      </c>
      <c r="C248" s="7">
        <v>10</v>
      </c>
      <c r="D248" s="30">
        <v>10000</v>
      </c>
    </row>
    <row r="249" spans="1:4" ht="15" customHeight="1" x14ac:dyDescent="0.3">
      <c r="A249" s="7">
        <v>26</v>
      </c>
      <c r="B249" s="7" t="s">
        <v>105</v>
      </c>
      <c r="C249" s="7">
        <v>10</v>
      </c>
      <c r="D249" s="30">
        <v>10000</v>
      </c>
    </row>
    <row r="250" spans="1:4" ht="15" customHeight="1" x14ac:dyDescent="0.3">
      <c r="A250" s="7">
        <v>27</v>
      </c>
      <c r="B250" s="7" t="s">
        <v>310</v>
      </c>
      <c r="C250" s="7" t="s">
        <v>301</v>
      </c>
      <c r="D250" s="30">
        <v>25000</v>
      </c>
    </row>
    <row r="251" spans="1:4" ht="15" customHeight="1" x14ac:dyDescent="0.3">
      <c r="A251" s="7">
        <v>28</v>
      </c>
      <c r="B251" s="7" t="s">
        <v>110</v>
      </c>
      <c r="C251" s="7">
        <v>1</v>
      </c>
      <c r="D251" s="30">
        <v>100000</v>
      </c>
    </row>
    <row r="252" spans="1:4" ht="15" customHeight="1" x14ac:dyDescent="0.3">
      <c r="A252" s="7">
        <v>29</v>
      </c>
      <c r="B252" s="7" t="s">
        <v>142</v>
      </c>
      <c r="C252" s="7" t="s">
        <v>69</v>
      </c>
      <c r="D252" s="30">
        <v>25000</v>
      </c>
    </row>
    <row r="253" spans="1:4" ht="15" customHeight="1" x14ac:dyDescent="0.3">
      <c r="A253" s="7">
        <v>30</v>
      </c>
      <c r="B253" s="7" t="s">
        <v>143</v>
      </c>
      <c r="C253" s="7">
        <v>15</v>
      </c>
      <c r="D253" s="30">
        <v>20000</v>
      </c>
    </row>
    <row r="254" spans="1:4" ht="15" customHeight="1" x14ac:dyDescent="0.3">
      <c r="A254" s="7">
        <v>31</v>
      </c>
      <c r="B254" s="7" t="s">
        <v>311</v>
      </c>
      <c r="C254" s="7" t="s">
        <v>301</v>
      </c>
      <c r="D254" s="30">
        <v>50000</v>
      </c>
    </row>
    <row r="255" spans="1:4" ht="15" customHeight="1" x14ac:dyDescent="0.3">
      <c r="A255" s="7">
        <v>32</v>
      </c>
      <c r="B255" s="7" t="s">
        <v>312</v>
      </c>
      <c r="C255" s="7" t="s">
        <v>301</v>
      </c>
      <c r="D255" s="30">
        <v>10000</v>
      </c>
    </row>
    <row r="256" spans="1:4" ht="15" customHeight="1" x14ac:dyDescent="0.3">
      <c r="A256" s="7">
        <v>33</v>
      </c>
      <c r="B256" s="7" t="s">
        <v>152</v>
      </c>
      <c r="C256" s="7">
        <v>10</v>
      </c>
      <c r="D256" s="30">
        <v>10000</v>
      </c>
    </row>
    <row r="257" spans="1:4" ht="15" customHeight="1" x14ac:dyDescent="0.3">
      <c r="A257" s="7">
        <v>34</v>
      </c>
      <c r="B257" s="7" t="s">
        <v>151</v>
      </c>
      <c r="C257" s="7">
        <v>10</v>
      </c>
      <c r="D257" s="30">
        <v>15000</v>
      </c>
    </row>
    <row r="258" spans="1:4" ht="15" customHeight="1" x14ac:dyDescent="0.3">
      <c r="A258" s="7">
        <v>35</v>
      </c>
      <c r="B258" s="7" t="s">
        <v>148</v>
      </c>
      <c r="C258" s="7">
        <v>10</v>
      </c>
      <c r="D258" s="30">
        <v>20000</v>
      </c>
    </row>
    <row r="259" spans="1:4" ht="15" customHeight="1" x14ac:dyDescent="0.3">
      <c r="A259" s="7">
        <v>36</v>
      </c>
      <c r="B259" s="7" t="s">
        <v>155</v>
      </c>
      <c r="C259" s="7">
        <v>40</v>
      </c>
      <c r="D259" s="30">
        <v>2000</v>
      </c>
    </row>
    <row r="260" spans="1:4" ht="15" customHeight="1" x14ac:dyDescent="0.3">
      <c r="A260" s="7">
        <v>37</v>
      </c>
      <c r="B260" s="7" t="s">
        <v>156</v>
      </c>
      <c r="C260" s="7">
        <v>20</v>
      </c>
      <c r="D260" s="30">
        <v>20000</v>
      </c>
    </row>
    <row r="261" spans="1:4" ht="15" customHeight="1" x14ac:dyDescent="0.3">
      <c r="A261" s="7">
        <v>38</v>
      </c>
      <c r="B261" s="7" t="s">
        <v>112</v>
      </c>
      <c r="C261" s="7">
        <v>30</v>
      </c>
      <c r="D261" s="30">
        <v>10000</v>
      </c>
    </row>
    <row r="262" spans="1:4" ht="15" customHeight="1" x14ac:dyDescent="0.3">
      <c r="A262" s="7">
        <v>39</v>
      </c>
      <c r="B262" s="7" t="s">
        <v>159</v>
      </c>
      <c r="C262" s="7">
        <v>20</v>
      </c>
      <c r="D262" s="30">
        <v>20000</v>
      </c>
    </row>
    <row r="263" spans="1:4" ht="15" customHeight="1" x14ac:dyDescent="0.3">
      <c r="A263" s="7">
        <v>40</v>
      </c>
      <c r="B263" s="7" t="s">
        <v>161</v>
      </c>
      <c r="C263" s="7">
        <v>20</v>
      </c>
      <c r="D263" s="30">
        <v>20000</v>
      </c>
    </row>
    <row r="264" spans="1:4" ht="15" customHeight="1" x14ac:dyDescent="0.3">
      <c r="A264" s="7">
        <v>41</v>
      </c>
      <c r="B264" s="7" t="s">
        <v>166</v>
      </c>
      <c r="C264" s="7">
        <v>10</v>
      </c>
      <c r="D264" s="30">
        <v>5000</v>
      </c>
    </row>
    <row r="265" spans="1:4" ht="15" customHeight="1" x14ac:dyDescent="0.3">
      <c r="A265" s="7">
        <v>42</v>
      </c>
      <c r="B265" s="7" t="s">
        <v>167</v>
      </c>
      <c r="C265" s="7">
        <v>1</v>
      </c>
      <c r="D265" s="30">
        <v>200000</v>
      </c>
    </row>
    <row r="266" spans="1:4" ht="15" customHeight="1" x14ac:dyDescent="0.3">
      <c r="A266" s="7">
        <v>43</v>
      </c>
      <c r="B266" s="7" t="s">
        <v>168</v>
      </c>
      <c r="C266" s="7" t="s">
        <v>126</v>
      </c>
      <c r="D266" s="30">
        <v>50000</v>
      </c>
    </row>
    <row r="267" spans="1:4" ht="15" customHeight="1" x14ac:dyDescent="0.3">
      <c r="A267" s="7">
        <v>44</v>
      </c>
      <c r="B267" s="10" t="s">
        <v>313</v>
      </c>
      <c r="C267" s="7" t="s">
        <v>193</v>
      </c>
      <c r="D267" s="30">
        <v>40000</v>
      </c>
    </row>
    <row r="268" spans="1:4" ht="15" customHeight="1" x14ac:dyDescent="0.3">
      <c r="A268" s="7">
        <v>45</v>
      </c>
      <c r="B268" s="10" t="s">
        <v>314</v>
      </c>
      <c r="C268" s="7" t="s">
        <v>177</v>
      </c>
      <c r="D268" s="30">
        <v>15000</v>
      </c>
    </row>
    <row r="269" spans="1:4" ht="15" customHeight="1" x14ac:dyDescent="0.3">
      <c r="A269" s="7">
        <v>46</v>
      </c>
      <c r="B269" s="10" t="s">
        <v>315</v>
      </c>
      <c r="C269" s="7" t="s">
        <v>177</v>
      </c>
      <c r="D269" s="30">
        <v>15000</v>
      </c>
    </row>
    <row r="270" spans="1:4" ht="15" customHeight="1" x14ac:dyDescent="0.3">
      <c r="A270" s="7">
        <v>47</v>
      </c>
      <c r="B270" s="10" t="s">
        <v>316</v>
      </c>
      <c r="C270" s="7" t="s">
        <v>181</v>
      </c>
      <c r="D270" s="30">
        <v>30000</v>
      </c>
    </row>
    <row r="271" spans="1:4" ht="15" customHeight="1" x14ac:dyDescent="0.3">
      <c r="A271" s="7">
        <v>48</v>
      </c>
      <c r="B271" s="10" t="s">
        <v>317</v>
      </c>
      <c r="C271" s="7" t="s">
        <v>193</v>
      </c>
      <c r="D271" s="30">
        <v>25000</v>
      </c>
    </row>
    <row r="272" spans="1:4" ht="15" customHeight="1" x14ac:dyDescent="0.3">
      <c r="A272" s="7">
        <v>49</v>
      </c>
      <c r="B272" s="10" t="s">
        <v>318</v>
      </c>
      <c r="C272" s="7" t="s">
        <v>193</v>
      </c>
      <c r="D272" s="30">
        <v>20000</v>
      </c>
    </row>
    <row r="273" spans="1:4" ht="15" customHeight="1" x14ac:dyDescent="0.3">
      <c r="A273" s="7">
        <v>50</v>
      </c>
      <c r="B273" s="10" t="s">
        <v>319</v>
      </c>
      <c r="C273" s="7" t="s">
        <v>177</v>
      </c>
      <c r="D273" s="30">
        <v>20000</v>
      </c>
    </row>
    <row r="274" spans="1:4" ht="15" customHeight="1" x14ac:dyDescent="0.3">
      <c r="A274" s="7">
        <v>51</v>
      </c>
      <c r="B274" s="10" t="s">
        <v>320</v>
      </c>
      <c r="C274" s="7" t="s">
        <v>177</v>
      </c>
      <c r="D274" s="30">
        <v>30000</v>
      </c>
    </row>
    <row r="275" spans="1:4" ht="15" customHeight="1" x14ac:dyDescent="0.3">
      <c r="A275" s="7">
        <v>52</v>
      </c>
      <c r="B275" s="10" t="s">
        <v>321</v>
      </c>
      <c r="C275" s="7" t="s">
        <v>173</v>
      </c>
      <c r="D275" s="30">
        <v>80000</v>
      </c>
    </row>
    <row r="276" spans="1:4" ht="15" customHeight="1" x14ac:dyDescent="0.3">
      <c r="A276" s="7">
        <v>53</v>
      </c>
      <c r="B276" s="10" t="s">
        <v>322</v>
      </c>
      <c r="C276" s="7" t="s">
        <v>193</v>
      </c>
      <c r="D276" s="30">
        <v>50000</v>
      </c>
    </row>
    <row r="277" spans="1:4" ht="15" customHeight="1" x14ac:dyDescent="0.3">
      <c r="A277" s="7">
        <v>54</v>
      </c>
      <c r="B277" s="10" t="s">
        <v>323</v>
      </c>
      <c r="C277" s="7" t="s">
        <v>193</v>
      </c>
      <c r="D277" s="30">
        <v>60000</v>
      </c>
    </row>
    <row r="278" spans="1:4" ht="15" customHeight="1" x14ac:dyDescent="0.3">
      <c r="A278" s="7">
        <v>55</v>
      </c>
      <c r="B278" s="10" t="s">
        <v>324</v>
      </c>
      <c r="C278" s="7" t="s">
        <v>177</v>
      </c>
      <c r="D278" s="30">
        <v>40000</v>
      </c>
    </row>
    <row r="279" spans="1:4" ht="15" customHeight="1" x14ac:dyDescent="0.3">
      <c r="A279" s="7">
        <v>56</v>
      </c>
      <c r="B279" s="11" t="s">
        <v>325</v>
      </c>
      <c r="C279" s="7" t="s">
        <v>294</v>
      </c>
      <c r="D279" s="30">
        <v>40000</v>
      </c>
    </row>
    <row r="280" spans="1:4" ht="15" customHeight="1" x14ac:dyDescent="0.3">
      <c r="A280" s="14">
        <v>57</v>
      </c>
      <c r="B280" s="15" t="s">
        <v>264</v>
      </c>
      <c r="C280" s="14" t="s">
        <v>263</v>
      </c>
      <c r="D280" s="27">
        <v>15000</v>
      </c>
    </row>
    <row r="281" spans="1:4" ht="15" customHeight="1" x14ac:dyDescent="0.3">
      <c r="B281" s="37" t="s">
        <v>327</v>
      </c>
      <c r="C281" s="37"/>
      <c r="D281" s="28">
        <f>SUM(D224:D280)</f>
        <v>3622000</v>
      </c>
    </row>
    <row r="283" spans="1:4" ht="15" customHeight="1" x14ac:dyDescent="0.3">
      <c r="A283" s="22" t="s">
        <v>0</v>
      </c>
      <c r="B283" s="22" t="s">
        <v>328</v>
      </c>
      <c r="C283" s="22" t="s">
        <v>338</v>
      </c>
    </row>
    <row r="284" spans="1:4" ht="15" customHeight="1" x14ac:dyDescent="0.3">
      <c r="A284" s="23">
        <v>1</v>
      </c>
      <c r="B284" s="23" t="s">
        <v>329</v>
      </c>
      <c r="C284" s="25">
        <f>D56</f>
        <v>1442500</v>
      </c>
    </row>
    <row r="285" spans="1:4" ht="15" customHeight="1" x14ac:dyDescent="0.3">
      <c r="A285" s="7">
        <v>2</v>
      </c>
      <c r="B285" s="7" t="s">
        <v>330</v>
      </c>
      <c r="C285" s="26">
        <f>D221</f>
        <v>6192000</v>
      </c>
    </row>
    <row r="286" spans="1:4" ht="15" customHeight="1" x14ac:dyDescent="0.3">
      <c r="A286" s="14">
        <v>3</v>
      </c>
      <c r="B286" s="14" t="s">
        <v>331</v>
      </c>
      <c r="C286" s="27">
        <f>D281</f>
        <v>3622000</v>
      </c>
    </row>
    <row r="287" spans="1:4" ht="15" customHeight="1" x14ac:dyDescent="0.3">
      <c r="B287" s="8" t="s">
        <v>332</v>
      </c>
      <c r="C287" s="28">
        <f>SUM(C284:C286)</f>
        <v>11256500</v>
      </c>
    </row>
  </sheetData>
  <mergeCells count="5">
    <mergeCell ref="B56:C56"/>
    <mergeCell ref="B221:C221"/>
    <mergeCell ref="B281:C281"/>
    <mergeCell ref="A3:D3"/>
    <mergeCell ref="A1:D2"/>
  </mergeCells>
  <conditionalFormatting sqref="A5:D55">
    <cfRule type="expression" dxfId="5" priority="5" stopIfTrue="1">
      <formula>MOD(ROW(),2)=1</formula>
    </cfRule>
    <cfRule type="expression" dxfId="4" priority="6" stopIfTrue="1">
      <formula>MOD(ROW(),2)=0</formula>
    </cfRule>
  </conditionalFormatting>
  <conditionalFormatting sqref="A59:D220">
    <cfRule type="expression" dxfId="3" priority="3" stopIfTrue="1">
      <formula>MOD(ROW(),2)=1</formula>
    </cfRule>
    <cfRule type="expression" dxfId="2" priority="4" stopIfTrue="1">
      <formula>MOD(ROW(),2)=0</formula>
    </cfRule>
  </conditionalFormatting>
  <conditionalFormatting sqref="A224:D280">
    <cfRule type="expression" dxfId="1" priority="1" stopIfTrue="1">
      <formula>MOD(ROW(),2)=1</formula>
    </cfRule>
    <cfRule type="expression" dxfId="0" priority="2" stopIfTrue="1">
      <formula>MOD(ROW(),2)=0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items needed-2026</vt:lpstr>
      <vt:lpstr>Science_LAB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Ewoku</dc:creator>
  <cp:lastModifiedBy>Ben Ewoku</cp:lastModifiedBy>
  <cp:lastPrinted>2026-01-20T11:23:58Z</cp:lastPrinted>
  <dcterms:created xsi:type="dcterms:W3CDTF">2015-06-05T18:17:20Z</dcterms:created>
  <dcterms:modified xsi:type="dcterms:W3CDTF">2026-01-23T07:59:18Z</dcterms:modified>
</cp:coreProperties>
</file>