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WINSPIRE\CONFIDENTIAL\RELOCATION\"/>
    </mc:Choice>
  </mc:AlternateContent>
  <xr:revisionPtr revIDLastSave="0" documentId="13_ncr:1_{D7F9B85C-FD02-42EF-90BD-9294DCCEA16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Evaluation_report" sheetId="3" r:id="rId1"/>
    <sheet name="Budget_Tracking" sheetId="4" r:id="rId2"/>
    <sheet name="Inventroy_Tracking" sheetId="5" r:id="rId3"/>
    <sheet name="Summary_Dashboard" sheetId="6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4" l="1"/>
</calcChain>
</file>

<file path=xl/sharedStrings.xml><?xml version="1.0" encoding="utf-8"?>
<sst xmlns="http://schemas.openxmlformats.org/spreadsheetml/2006/main" count="512" uniqueCount="215">
  <si>
    <t>Item</t>
  </si>
  <si>
    <t>Quantity</t>
  </si>
  <si>
    <t>Move</t>
  </si>
  <si>
    <t>Category</t>
  </si>
  <si>
    <t>Responsible Person(s)</t>
  </si>
  <si>
    <t>Martin</t>
  </si>
  <si>
    <t>2 weeks before</t>
  </si>
  <si>
    <t>Martin, Ben</t>
  </si>
  <si>
    <t>Week 1</t>
  </si>
  <si>
    <t>Ben, Martin, Daphne</t>
  </si>
  <si>
    <t>Ben</t>
  </si>
  <si>
    <t>Communication</t>
  </si>
  <si>
    <t>Done</t>
  </si>
  <si>
    <t>Week 2</t>
  </si>
  <si>
    <t>Logistics</t>
  </si>
  <si>
    <t>1 week before</t>
  </si>
  <si>
    <t>3 days before</t>
  </si>
  <si>
    <t>Move Day</t>
  </si>
  <si>
    <t>Post-Move</t>
  </si>
  <si>
    <t>Ben, Martin</t>
  </si>
  <si>
    <t>IT Setup</t>
  </si>
  <si>
    <t>Ben, Savannah</t>
  </si>
  <si>
    <t>Stabilization</t>
  </si>
  <si>
    <t>Sunday</t>
  </si>
  <si>
    <t>Monday 7:30-8am</t>
  </si>
  <si>
    <t>Section</t>
  </si>
  <si>
    <t>Activity / Indicator</t>
  </si>
  <si>
    <t>Planned Timeline</t>
  </si>
  <si>
    <t>Completion Status (Yes/No)</t>
  </si>
  <si>
    <t>Quality Rating (1-5)</t>
  </si>
  <si>
    <t>Issues / Risks Identified</t>
  </si>
  <si>
    <t>Corrective Action</t>
  </si>
  <si>
    <t>Comments</t>
  </si>
  <si>
    <t>PURPOSE</t>
  </si>
  <si>
    <t>Purpose</t>
  </si>
  <si>
    <t>Safety of equipment and documents ensured</t>
  </si>
  <si>
    <t>Move completed cost-effectively</t>
  </si>
  <si>
    <t>SCOPE</t>
  </si>
  <si>
    <t>Scope</t>
  </si>
  <si>
    <t>Office furniture relocated (chairs, tables, reception desk)</t>
  </si>
  <si>
    <t>Relocation Team</t>
  </si>
  <si>
    <t>Office equipment relocated (files, whiteboards, printer)</t>
  </si>
  <si>
    <t>Appliances relocated (water dispenser, fridge, microwave)</t>
  </si>
  <si>
    <t>WiFi disconnected from old premises</t>
  </si>
  <si>
    <t>WiFi installed at new premises</t>
  </si>
  <si>
    <t>Post-Move (Sat/Sun)</t>
  </si>
  <si>
    <t>Signage removed and relocated</t>
  </si>
  <si>
    <t>PRE-RELOCATION PLANNING</t>
  </si>
  <si>
    <t>Planning</t>
  </si>
  <si>
    <t>Lease/ownership documents confirmed</t>
  </si>
  <si>
    <t>Power supply and sockets inspected</t>
  </si>
  <si>
    <t>Internet connectivity verified</t>
  </si>
  <si>
    <t>Water and sanitation checked</t>
  </si>
  <si>
    <t>Security assessed (locks, doors, windows)</t>
  </si>
  <si>
    <t>Ventilation and lighting verified</t>
  </si>
  <si>
    <t>Office spaces allocated</t>
  </si>
  <si>
    <t>Storage areas designated</t>
  </si>
  <si>
    <t>Reception and common areas planned</t>
  </si>
  <si>
    <t>ASSETS &amp; INVENTORY</t>
  </si>
  <si>
    <t>Assets</t>
  </si>
  <si>
    <t>Detailed inventory created</t>
  </si>
  <si>
    <t>Items tagged (Move/Dispose/Donate/Store)</t>
  </si>
  <si>
    <t>Fragile items identified</t>
  </si>
  <si>
    <t>Sensitive items identified</t>
  </si>
  <si>
    <t>High-value items identified</t>
  </si>
  <si>
    <t>Fragile &amp; sensitive items secured during move</t>
  </si>
  <si>
    <t>COMMUNICATION</t>
  </si>
  <si>
    <t>Staff notified of relocation date</t>
  </si>
  <si>
    <t>Yes</t>
  </si>
  <si>
    <t>Staff expectations communicated</t>
  </si>
  <si>
    <t>Stakeholders informed (clients, suppliers)</t>
  </si>
  <si>
    <t>Internal documents updated</t>
  </si>
  <si>
    <t>Emergency contacts updated</t>
  </si>
  <si>
    <t>LOGISTICS &amp; TRANSPORTATION</t>
  </si>
  <si>
    <t>Pickup truck(s) hired</t>
  </si>
  <si>
    <t>Number of trips determined</t>
  </si>
  <si>
    <t>Loading team arranged</t>
  </si>
  <si>
    <t>Offloading team arranged</t>
  </si>
  <si>
    <t>Boxes labeled by department/room</t>
  </si>
  <si>
    <t>Boxes color-coded</t>
  </si>
  <si>
    <t>Confidential documents separated</t>
  </si>
  <si>
    <t>Fragile items packed separately</t>
  </si>
  <si>
    <t>MOVE DAY EXECUTION</t>
  </si>
  <si>
    <t>Transport arranged and on time</t>
  </si>
  <si>
    <t>Loading completed safely</t>
  </si>
  <si>
    <t>Loading Team</t>
  </si>
  <si>
    <t>All items transported successfully</t>
  </si>
  <si>
    <t>Offloading completed safely</t>
  </si>
  <si>
    <t>Offloading Team</t>
  </si>
  <si>
    <t>No items damaged during transport</t>
  </si>
  <si>
    <t>No items lost during transport</t>
  </si>
  <si>
    <t>POST-MOVE SETUP</t>
  </si>
  <si>
    <t>New premises inspected for cleanliness</t>
  </si>
  <si>
    <t>Before Move</t>
  </si>
  <si>
    <t>Cleaning cost negotiated</t>
  </si>
  <si>
    <t>Premises cleaned and ready</t>
  </si>
  <si>
    <t>Internet connectivity installed</t>
  </si>
  <si>
    <t>Sat/Sun</t>
  </si>
  <si>
    <t>Internet tested and working</t>
  </si>
  <si>
    <t>Printers installed</t>
  </si>
  <si>
    <t>Scanners installed</t>
  </si>
  <si>
    <t>All equipment tested</t>
  </si>
  <si>
    <t>OPERATIONAL STABILIZATION</t>
  </si>
  <si>
    <t>Outstanding setup issues identified</t>
  </si>
  <si>
    <t>Outstanding issues resolved</t>
  </si>
  <si>
    <t>Before Monday</t>
  </si>
  <si>
    <t>Staff orientation conducted</t>
  </si>
  <si>
    <t>Operations resumed normally</t>
  </si>
  <si>
    <t>All Staff</t>
  </si>
  <si>
    <t>Monday 8am</t>
  </si>
  <si>
    <t>OLD PREMISES HANDOVER</t>
  </si>
  <si>
    <t>Handover</t>
  </si>
  <si>
    <t>All remaining items removed</t>
  </si>
  <si>
    <t>After Move</t>
  </si>
  <si>
    <t>Old premises cleaned</t>
  </si>
  <si>
    <t>Damages repaired</t>
  </si>
  <si>
    <t>Keys returned</t>
  </si>
  <si>
    <t>Final Day</t>
  </si>
  <si>
    <t>Handover documents signed</t>
  </si>
  <si>
    <t>REVIEW &amp; DOCUMENTATION</t>
  </si>
  <si>
    <t>Review</t>
  </si>
  <si>
    <t>Post-move review meeting conducted</t>
  </si>
  <si>
    <t>Martin, Ben, Management</t>
  </si>
  <si>
    <t>Week After</t>
  </si>
  <si>
    <t>Lessons learned documented</t>
  </si>
  <si>
    <t>Asset registers updated</t>
  </si>
  <si>
    <t>Location records updated</t>
  </si>
  <si>
    <t>Estimated Cost (UGX)</t>
  </si>
  <si>
    <t>Actual Cost (UGX)</t>
  </si>
  <si>
    <t>Variance (UGX)</t>
  </si>
  <si>
    <t>Payment Status</t>
  </si>
  <si>
    <t>Receipt/Invoice No.</t>
  </si>
  <si>
    <t>Transport</t>
  </si>
  <si>
    <t>Truck hire</t>
  </si>
  <si>
    <t>Labor</t>
  </si>
  <si>
    <t>Loading team</t>
  </si>
  <si>
    <t>Offloading team</t>
  </si>
  <si>
    <t>Materials</t>
  </si>
  <si>
    <t>Boxes and labels</t>
  </si>
  <si>
    <t>Packing materials</t>
  </si>
  <si>
    <t>Internet installation</t>
  </si>
  <si>
    <t>Network equipment</t>
  </si>
  <si>
    <t>Cleaning</t>
  </si>
  <si>
    <t>New premises cleaning</t>
  </si>
  <si>
    <t>Old premises cleaning</t>
  </si>
  <si>
    <t>Repairs</t>
  </si>
  <si>
    <t>New premises repairs</t>
  </si>
  <si>
    <t>Old premises repairs</t>
  </si>
  <si>
    <t>Signage</t>
  </si>
  <si>
    <t>Signage relocation</t>
  </si>
  <si>
    <t>Contingency</t>
  </si>
  <si>
    <t>Unforeseen expenses (10-15%)</t>
  </si>
  <si>
    <t>TOTAL</t>
  </si>
  <si>
    <t>Item No.</t>
  </si>
  <si>
    <t>Item Description</t>
  </si>
  <si>
    <t>Condition (Good/Fair/Poor)</t>
  </si>
  <si>
    <t>Action (Move/Dispose/Store)</t>
  </si>
  <si>
    <t>Priority (Regular/Fragile/Confidential)</t>
  </si>
  <si>
    <t>Packed (Yes/No)</t>
  </si>
  <si>
    <t>Loaded (Yes/No)</t>
  </si>
  <si>
    <t>Delivered (Yes/No)</t>
  </si>
  <si>
    <t>Location in New Premises</t>
  </si>
  <si>
    <t>Regular</t>
  </si>
  <si>
    <t>Plastic tables</t>
  </si>
  <si>
    <t>Reception table</t>
  </si>
  <si>
    <t>Filing cabinets</t>
  </si>
  <si>
    <t>Document files</t>
  </si>
  <si>
    <t>Confidential</t>
  </si>
  <si>
    <t>Whiteboards</t>
  </si>
  <si>
    <t>Fragile</t>
  </si>
  <si>
    <t>Printer</t>
  </si>
  <si>
    <t>Water dispenser</t>
  </si>
  <si>
    <t>Refrigerator</t>
  </si>
  <si>
    <t>Microwave</t>
  </si>
  <si>
    <t>Metric</t>
  </si>
  <si>
    <t>Value</t>
  </si>
  <si>
    <t>Target</t>
  </si>
  <si>
    <t>% Complete</t>
  </si>
  <si>
    <t>Total Activities</t>
  </si>
  <si>
    <t>Completed Activities</t>
  </si>
  <si>
    <t>Pending Activities</t>
  </si>
  <si>
    <t>-</t>
  </si>
  <si>
    <t>Average Quality Rating</t>
  </si>
  <si>
    <t>Budget Spent</t>
  </si>
  <si>
    <t>High Priority Issues</t>
  </si>
  <si>
    <t>Days to Move</t>
  </si>
  <si>
    <t>QUALITY RATING SCALE</t>
  </si>
  <si>
    <r>
      <t>5</t>
    </r>
    <r>
      <rPr>
        <sz val="11"/>
        <color theme="1"/>
        <rFont val="Calibri"/>
        <family val="2"/>
        <scheme val="minor"/>
      </rPr>
      <t xml:space="preserve"> = Excellent (Exceeded expectations, no issues)</t>
    </r>
  </si>
  <si>
    <r>
      <t>4</t>
    </r>
    <r>
      <rPr>
        <sz val="11"/>
        <color theme="1"/>
        <rFont val="Calibri"/>
        <family val="2"/>
        <scheme val="minor"/>
      </rPr>
      <t xml:space="preserve"> = Good (Met expectations, minor issues resolved)</t>
    </r>
  </si>
  <si>
    <r>
      <t>3</t>
    </r>
    <r>
      <rPr>
        <sz val="11"/>
        <color theme="1"/>
        <rFont val="Calibri"/>
        <family val="2"/>
        <scheme val="minor"/>
      </rPr>
      <t xml:space="preserve"> = Satisfactory (Met basic requirements, some issues)</t>
    </r>
  </si>
  <si>
    <r>
      <t>2</t>
    </r>
    <r>
      <rPr>
        <sz val="11"/>
        <color theme="1"/>
        <rFont val="Calibri"/>
        <family val="2"/>
        <scheme val="minor"/>
      </rPr>
      <t xml:space="preserve"> = Poor (Below expectations, significant issues)</t>
    </r>
  </si>
  <si>
    <r>
      <t>1</t>
    </r>
    <r>
      <rPr>
        <sz val="11"/>
        <color theme="1"/>
        <rFont val="Calibri"/>
        <family val="2"/>
        <scheme val="minor"/>
      </rPr>
      <t xml:space="preserve"> = Unsatisfactory (Failed to meet requirements)</t>
    </r>
  </si>
  <si>
    <t>No.</t>
  </si>
  <si>
    <t>Student Chairs</t>
  </si>
  <si>
    <t>Covered in Truck hire</t>
  </si>
  <si>
    <t>Office chairs/platic</t>
  </si>
  <si>
    <t>Good</t>
  </si>
  <si>
    <t>Utensils/cups/plates/containers</t>
  </si>
  <si>
    <t>32 piecies</t>
  </si>
  <si>
    <t>No</t>
  </si>
  <si>
    <t>Undone</t>
  </si>
  <si>
    <t>Not Yet</t>
  </si>
  <si>
    <t>negotiated</t>
  </si>
  <si>
    <t>covered</t>
  </si>
  <si>
    <t>not yet</t>
  </si>
  <si>
    <t>started</t>
  </si>
  <si>
    <t>ongoing</t>
  </si>
  <si>
    <t>Done and Ongoing</t>
  </si>
  <si>
    <t>Negotiations done</t>
  </si>
  <si>
    <t>Max 2</t>
  </si>
  <si>
    <t>done</t>
  </si>
  <si>
    <t>confirmed</t>
  </si>
  <si>
    <t>done by Stepen</t>
  </si>
  <si>
    <t>covered and to be refunded</t>
  </si>
  <si>
    <t>facility cleaning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</si>
</sst>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5" fillId="0" borderId="0" applyFont="0" applyFill="0" applyBorder="0" applyAlignment="0" applyProtection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0" fillId="2" borderId="0" xfId="0" applyFill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/>
    <xf numFmtId="0" fontId="3" fillId="0" borderId="1" xfId="0" applyFont="1" applyBorder="1"/>
    <xf numFmtId="9" fontId="3" fillId="0" borderId="1" xfId="0" applyNumberFormat="1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/>
    <xf numFmtId="0" fontId="2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/>
    <xf numFmtId="0" fontId="2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0" fillId="0" borderId="1" xfId="0" applyBorder="1"/>
    <xf numFmtId="0" fontId="3" fillId="7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41" fontId="3" fillId="0" borderId="1" xfId="1" applyFont="1" applyBorder="1" applyAlignment="1">
      <alignment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E5A8E-9F81-4B89-AF87-3990BA90D669}">
  <dimension ref="B2:J76"/>
  <sheetViews>
    <sheetView topLeftCell="B57" workbookViewId="0">
      <selection activeCell="J78" sqref="J78"/>
    </sheetView>
  </sheetViews>
  <sheetFormatPr defaultRowHeight="14.4" x14ac:dyDescent="0.3"/>
  <cols>
    <col min="2" max="2" width="20.88671875" customWidth="1"/>
    <col min="3" max="3" width="29.21875" customWidth="1"/>
    <col min="4" max="4" width="26.77734375" customWidth="1"/>
    <col min="5" max="5" width="15.5546875" customWidth="1"/>
    <col min="6" max="6" width="32.44140625" customWidth="1"/>
    <col min="7" max="7" width="18.5546875" customWidth="1"/>
    <col min="8" max="8" width="20.88671875" customWidth="1"/>
    <col min="9" max="9" width="17.5546875" customWidth="1"/>
    <col min="10" max="10" width="12.44140625" customWidth="1"/>
  </cols>
  <sheetData>
    <row r="2" spans="2:10" ht="28.8" x14ac:dyDescent="0.3">
      <c r="B2" s="9" t="s">
        <v>25</v>
      </c>
      <c r="C2" s="9" t="s">
        <v>26</v>
      </c>
      <c r="D2" s="9" t="s">
        <v>4</v>
      </c>
      <c r="E2" s="9" t="s">
        <v>27</v>
      </c>
      <c r="F2" s="9" t="s">
        <v>28</v>
      </c>
      <c r="G2" s="9" t="s">
        <v>29</v>
      </c>
      <c r="H2" s="9" t="s">
        <v>30</v>
      </c>
      <c r="I2" s="9" t="s">
        <v>31</v>
      </c>
      <c r="J2" s="9" t="s">
        <v>32</v>
      </c>
    </row>
    <row r="3" spans="2:10" x14ac:dyDescent="0.3">
      <c r="B3" s="3" t="s">
        <v>33</v>
      </c>
      <c r="C3" s="4"/>
      <c r="D3" s="4"/>
      <c r="E3" s="4"/>
      <c r="F3" s="4"/>
      <c r="G3" s="4"/>
      <c r="H3" s="4"/>
      <c r="I3" s="4"/>
      <c r="J3" s="4"/>
    </row>
    <row r="4" spans="2:10" ht="28.8" x14ac:dyDescent="0.3">
      <c r="B4" s="17" t="s">
        <v>34</v>
      </c>
      <c r="C4" s="17" t="s">
        <v>35</v>
      </c>
      <c r="D4" s="17" t="s">
        <v>7</v>
      </c>
      <c r="E4" s="17" t="s">
        <v>17</v>
      </c>
      <c r="F4" s="17"/>
      <c r="G4" s="17"/>
      <c r="H4" s="17"/>
      <c r="I4" s="17"/>
      <c r="J4" s="17"/>
    </row>
    <row r="5" spans="2:10" x14ac:dyDescent="0.3">
      <c r="B5" s="17" t="s">
        <v>34</v>
      </c>
      <c r="C5" s="17" t="s">
        <v>36</v>
      </c>
      <c r="D5" s="17" t="s">
        <v>7</v>
      </c>
      <c r="E5" s="17" t="s">
        <v>17</v>
      </c>
      <c r="F5" s="17"/>
      <c r="G5" s="17"/>
      <c r="H5" s="17"/>
      <c r="I5" s="17"/>
      <c r="J5" s="17"/>
    </row>
    <row r="6" spans="2:10" x14ac:dyDescent="0.3">
      <c r="B6" s="11" t="s">
        <v>37</v>
      </c>
      <c r="C6" s="12"/>
      <c r="D6" s="12"/>
      <c r="E6" s="12"/>
      <c r="F6" s="12"/>
      <c r="G6" s="12"/>
      <c r="H6" s="12"/>
      <c r="I6" s="12"/>
      <c r="J6" s="12"/>
    </row>
    <row r="7" spans="2:10" ht="28.8" x14ac:dyDescent="0.3">
      <c r="B7" s="4" t="s">
        <v>38</v>
      </c>
      <c r="C7" s="4" t="s">
        <v>39</v>
      </c>
      <c r="D7" s="4" t="s">
        <v>40</v>
      </c>
      <c r="E7" s="4" t="s">
        <v>17</v>
      </c>
      <c r="F7" s="4"/>
      <c r="G7" s="4"/>
      <c r="H7" s="4"/>
      <c r="I7" s="4"/>
      <c r="J7" s="4" t="s">
        <v>210</v>
      </c>
    </row>
    <row r="8" spans="2:10" ht="28.8" x14ac:dyDescent="0.3">
      <c r="B8" s="4" t="s">
        <v>38</v>
      </c>
      <c r="C8" s="4" t="s">
        <v>41</v>
      </c>
      <c r="D8" s="4" t="s">
        <v>40</v>
      </c>
      <c r="E8" s="4" t="s">
        <v>17</v>
      </c>
      <c r="F8" s="4"/>
      <c r="G8" s="4"/>
      <c r="H8" s="4"/>
      <c r="I8" s="4"/>
      <c r="J8" s="4" t="s">
        <v>210</v>
      </c>
    </row>
    <row r="9" spans="2:10" ht="28.8" x14ac:dyDescent="0.3">
      <c r="B9" s="4" t="s">
        <v>38</v>
      </c>
      <c r="C9" s="4" t="s">
        <v>42</v>
      </c>
      <c r="D9" s="4" t="s">
        <v>40</v>
      </c>
      <c r="E9" s="4" t="s">
        <v>17</v>
      </c>
      <c r="F9" s="4"/>
      <c r="G9" s="4"/>
      <c r="H9" s="4"/>
      <c r="I9" s="4"/>
      <c r="J9" s="4" t="s">
        <v>210</v>
      </c>
    </row>
    <row r="10" spans="2:10" ht="28.8" x14ac:dyDescent="0.3">
      <c r="B10" s="4" t="s">
        <v>38</v>
      </c>
      <c r="C10" s="4" t="s">
        <v>43</v>
      </c>
      <c r="D10" s="4" t="s">
        <v>10</v>
      </c>
      <c r="E10" s="4" t="s">
        <v>17</v>
      </c>
      <c r="F10" s="4"/>
      <c r="G10" s="4"/>
      <c r="H10" s="4"/>
      <c r="I10" s="4"/>
      <c r="J10" s="4" t="s">
        <v>201</v>
      </c>
    </row>
    <row r="11" spans="2:10" ht="28.8" x14ac:dyDescent="0.3">
      <c r="B11" s="4" t="s">
        <v>38</v>
      </c>
      <c r="C11" s="4" t="s">
        <v>44</v>
      </c>
      <c r="D11" s="4" t="s">
        <v>21</v>
      </c>
      <c r="E11" s="4" t="s">
        <v>45</v>
      </c>
      <c r="F11" s="4"/>
      <c r="G11" s="4"/>
      <c r="H11" s="4"/>
      <c r="I11" s="4"/>
      <c r="J11" s="4" t="s">
        <v>201</v>
      </c>
    </row>
    <row r="12" spans="2:10" x14ac:dyDescent="0.3">
      <c r="B12" s="4" t="s">
        <v>38</v>
      </c>
      <c r="C12" s="4" t="s">
        <v>46</v>
      </c>
      <c r="D12" s="4" t="s">
        <v>7</v>
      </c>
      <c r="E12" s="4" t="s">
        <v>17</v>
      </c>
      <c r="F12" s="4"/>
      <c r="G12" s="4"/>
      <c r="H12" s="4"/>
      <c r="I12" s="4"/>
      <c r="J12" s="4" t="s">
        <v>201</v>
      </c>
    </row>
    <row r="13" spans="2:10" ht="28.8" x14ac:dyDescent="0.3">
      <c r="B13" s="11" t="s">
        <v>47</v>
      </c>
      <c r="C13" s="12"/>
      <c r="D13" s="12"/>
      <c r="E13" s="12"/>
      <c r="F13" s="12"/>
      <c r="G13" s="12"/>
      <c r="H13" s="12"/>
      <c r="I13" s="12"/>
      <c r="J13" s="12"/>
    </row>
    <row r="14" spans="2:10" ht="28.8" x14ac:dyDescent="0.3">
      <c r="B14" s="4" t="s">
        <v>48</v>
      </c>
      <c r="C14" s="4" t="s">
        <v>49</v>
      </c>
      <c r="D14" s="4" t="s">
        <v>5</v>
      </c>
      <c r="E14" s="4" t="s">
        <v>8</v>
      </c>
      <c r="F14" s="4"/>
      <c r="G14" s="4"/>
      <c r="H14" s="4"/>
      <c r="I14" s="4"/>
      <c r="J14" s="4" t="s">
        <v>201</v>
      </c>
    </row>
    <row r="15" spans="2:10" ht="28.8" x14ac:dyDescent="0.3">
      <c r="B15" s="4" t="s">
        <v>48</v>
      </c>
      <c r="C15" s="4" t="s">
        <v>50</v>
      </c>
      <c r="D15" s="4" t="s">
        <v>7</v>
      </c>
      <c r="E15" s="4" t="s">
        <v>8</v>
      </c>
      <c r="F15" s="4"/>
      <c r="G15" s="4"/>
      <c r="H15" s="4"/>
      <c r="I15" s="4"/>
      <c r="J15" s="4" t="s">
        <v>201</v>
      </c>
    </row>
    <row r="16" spans="2:10" x14ac:dyDescent="0.3">
      <c r="B16" s="4" t="s">
        <v>48</v>
      </c>
      <c r="C16" s="4" t="s">
        <v>51</v>
      </c>
      <c r="D16" s="4" t="s">
        <v>7</v>
      </c>
      <c r="E16" s="4" t="s">
        <v>8</v>
      </c>
      <c r="F16" s="4"/>
      <c r="G16" s="4"/>
      <c r="H16" s="4"/>
      <c r="I16" s="4"/>
      <c r="J16" s="4" t="s">
        <v>201</v>
      </c>
    </row>
    <row r="17" spans="2:10" x14ac:dyDescent="0.3">
      <c r="B17" s="4" t="s">
        <v>48</v>
      </c>
      <c r="C17" s="4" t="s">
        <v>52</v>
      </c>
      <c r="D17" s="4" t="s">
        <v>7</v>
      </c>
      <c r="E17" s="4" t="s">
        <v>8</v>
      </c>
      <c r="F17" s="4"/>
      <c r="G17" s="4"/>
      <c r="H17" s="4"/>
      <c r="I17" s="4"/>
      <c r="J17" s="4" t="s">
        <v>210</v>
      </c>
    </row>
    <row r="18" spans="2:10" ht="28.8" x14ac:dyDescent="0.3">
      <c r="B18" s="4" t="s">
        <v>48</v>
      </c>
      <c r="C18" s="4" t="s">
        <v>53</v>
      </c>
      <c r="D18" s="4" t="s">
        <v>7</v>
      </c>
      <c r="E18" s="4" t="s">
        <v>8</v>
      </c>
      <c r="F18" s="4"/>
      <c r="G18" s="4"/>
      <c r="H18" s="4"/>
      <c r="I18" s="4"/>
      <c r="J18" s="4" t="s">
        <v>210</v>
      </c>
    </row>
    <row r="19" spans="2:10" x14ac:dyDescent="0.3">
      <c r="B19" s="4" t="s">
        <v>48</v>
      </c>
      <c r="C19" s="4" t="s">
        <v>54</v>
      </c>
      <c r="D19" s="4" t="s">
        <v>7</v>
      </c>
      <c r="E19" s="4" t="s">
        <v>8</v>
      </c>
      <c r="F19" s="4"/>
      <c r="G19" s="4"/>
      <c r="H19" s="4"/>
      <c r="I19" s="4"/>
      <c r="J19" s="4" t="s">
        <v>201</v>
      </c>
    </row>
    <row r="20" spans="2:10" x14ac:dyDescent="0.3">
      <c r="B20" s="4" t="s">
        <v>48</v>
      </c>
      <c r="C20" s="4" t="s">
        <v>55</v>
      </c>
      <c r="D20" s="4" t="s">
        <v>9</v>
      </c>
      <c r="E20" s="4" t="s">
        <v>8</v>
      </c>
      <c r="F20" s="4"/>
      <c r="G20" s="4"/>
      <c r="H20" s="4"/>
      <c r="I20" s="4"/>
      <c r="J20" s="4" t="s">
        <v>201</v>
      </c>
    </row>
    <row r="21" spans="2:10" x14ac:dyDescent="0.3">
      <c r="B21" s="4" t="s">
        <v>48</v>
      </c>
      <c r="C21" s="4" t="s">
        <v>56</v>
      </c>
      <c r="D21" s="4" t="s">
        <v>9</v>
      </c>
      <c r="E21" s="4" t="s">
        <v>8</v>
      </c>
      <c r="F21" s="4"/>
      <c r="G21" s="4"/>
      <c r="H21" s="4"/>
      <c r="I21" s="4"/>
      <c r="J21" s="4" t="s">
        <v>201</v>
      </c>
    </row>
    <row r="22" spans="2:10" ht="28.8" x14ac:dyDescent="0.3">
      <c r="B22" s="4" t="s">
        <v>48</v>
      </c>
      <c r="C22" s="4" t="s">
        <v>57</v>
      </c>
      <c r="D22" s="4" t="s">
        <v>9</v>
      </c>
      <c r="E22" s="4" t="s">
        <v>8</v>
      </c>
      <c r="F22" s="4"/>
      <c r="G22" s="4"/>
      <c r="H22" s="4"/>
      <c r="I22" s="4"/>
      <c r="J22" s="4" t="s">
        <v>201</v>
      </c>
    </row>
    <row r="23" spans="2:10" ht="28.8" x14ac:dyDescent="0.3">
      <c r="B23" s="11" t="s">
        <v>58</v>
      </c>
      <c r="C23" s="12"/>
      <c r="D23" s="12"/>
      <c r="E23" s="12"/>
      <c r="F23" s="12"/>
      <c r="G23" s="12"/>
      <c r="H23" s="12"/>
      <c r="I23" s="12"/>
      <c r="J23" s="12"/>
    </row>
    <row r="24" spans="2:10" x14ac:dyDescent="0.3">
      <c r="B24" s="4" t="s">
        <v>59</v>
      </c>
      <c r="C24" s="4" t="s">
        <v>60</v>
      </c>
      <c r="D24" s="4" t="s">
        <v>10</v>
      </c>
      <c r="E24" s="4" t="s">
        <v>8</v>
      </c>
      <c r="F24" s="4"/>
      <c r="G24" s="4"/>
      <c r="H24" s="4"/>
      <c r="I24" s="4"/>
      <c r="J24" s="4" t="s">
        <v>210</v>
      </c>
    </row>
    <row r="25" spans="2:10" ht="28.8" x14ac:dyDescent="0.3">
      <c r="B25" s="4" t="s">
        <v>59</v>
      </c>
      <c r="C25" s="4" t="s">
        <v>61</v>
      </c>
      <c r="D25" s="4" t="s">
        <v>10</v>
      </c>
      <c r="E25" s="4" t="s">
        <v>8</v>
      </c>
      <c r="F25" s="4"/>
      <c r="G25" s="4"/>
      <c r="H25" s="4"/>
      <c r="I25" s="4"/>
      <c r="J25" s="4" t="s">
        <v>210</v>
      </c>
    </row>
    <row r="26" spans="2:10" x14ac:dyDescent="0.3">
      <c r="B26" s="4" t="s">
        <v>59</v>
      </c>
      <c r="C26" s="4" t="s">
        <v>62</v>
      </c>
      <c r="D26" s="4" t="s">
        <v>7</v>
      </c>
      <c r="E26" s="4" t="s">
        <v>8</v>
      </c>
      <c r="F26" s="4"/>
      <c r="G26" s="4"/>
      <c r="H26" s="4"/>
      <c r="I26" s="4"/>
      <c r="J26" s="4" t="s">
        <v>210</v>
      </c>
    </row>
    <row r="27" spans="2:10" x14ac:dyDescent="0.3">
      <c r="B27" s="4" t="s">
        <v>59</v>
      </c>
      <c r="C27" s="4" t="s">
        <v>63</v>
      </c>
      <c r="D27" s="4" t="s">
        <v>7</v>
      </c>
      <c r="E27" s="4" t="s">
        <v>8</v>
      </c>
      <c r="F27" s="4"/>
      <c r="G27" s="4"/>
      <c r="H27" s="4"/>
      <c r="I27" s="4"/>
      <c r="J27" s="4" t="s">
        <v>210</v>
      </c>
    </row>
    <row r="28" spans="2:10" x14ac:dyDescent="0.3">
      <c r="B28" s="4" t="s">
        <v>59</v>
      </c>
      <c r="C28" s="4" t="s">
        <v>64</v>
      </c>
      <c r="D28" s="4" t="s">
        <v>7</v>
      </c>
      <c r="E28" s="4" t="s">
        <v>8</v>
      </c>
      <c r="F28" s="4"/>
      <c r="G28" s="4"/>
      <c r="H28" s="4"/>
      <c r="I28" s="4"/>
      <c r="J28" s="4" t="s">
        <v>210</v>
      </c>
    </row>
    <row r="29" spans="2:10" ht="28.8" x14ac:dyDescent="0.3">
      <c r="B29" s="4" t="s">
        <v>59</v>
      </c>
      <c r="C29" s="4" t="s">
        <v>65</v>
      </c>
      <c r="D29" s="4" t="s">
        <v>7</v>
      </c>
      <c r="E29" s="4" t="s">
        <v>17</v>
      </c>
      <c r="F29" s="4"/>
      <c r="G29" s="4"/>
      <c r="H29" s="4"/>
      <c r="I29" s="4"/>
      <c r="J29" s="4" t="s">
        <v>210</v>
      </c>
    </row>
    <row r="30" spans="2:10" x14ac:dyDescent="0.3">
      <c r="B30" s="11" t="s">
        <v>66</v>
      </c>
      <c r="C30" s="12"/>
      <c r="D30" s="12"/>
      <c r="E30" s="12"/>
      <c r="F30" s="12"/>
      <c r="G30" s="12"/>
      <c r="H30" s="12"/>
      <c r="I30" s="12"/>
      <c r="J30" s="12"/>
    </row>
    <row r="31" spans="2:10" x14ac:dyDescent="0.3">
      <c r="B31" s="4" t="s">
        <v>11</v>
      </c>
      <c r="C31" s="4" t="s">
        <v>67</v>
      </c>
      <c r="D31" s="4" t="s">
        <v>5</v>
      </c>
      <c r="E31" s="4" t="s">
        <v>6</v>
      </c>
      <c r="F31" s="4" t="s">
        <v>68</v>
      </c>
      <c r="G31" s="4"/>
      <c r="H31" s="4"/>
      <c r="I31" s="4"/>
      <c r="J31" s="4" t="s">
        <v>12</v>
      </c>
    </row>
    <row r="32" spans="2:10" ht="28.8" x14ac:dyDescent="0.3">
      <c r="B32" s="4" t="s">
        <v>11</v>
      </c>
      <c r="C32" s="4" t="s">
        <v>69</v>
      </c>
      <c r="D32" s="4" t="s">
        <v>10</v>
      </c>
      <c r="E32" s="4" t="s">
        <v>6</v>
      </c>
      <c r="F32" s="4"/>
      <c r="G32" s="4"/>
      <c r="H32" s="4"/>
      <c r="I32" s="4"/>
      <c r="J32" s="4" t="s">
        <v>12</v>
      </c>
    </row>
    <row r="33" spans="2:10" ht="28.8" x14ac:dyDescent="0.3">
      <c r="B33" s="4" t="s">
        <v>11</v>
      </c>
      <c r="C33" s="4" t="s">
        <v>70</v>
      </c>
      <c r="D33" s="4" t="s">
        <v>5</v>
      </c>
      <c r="E33" s="4" t="s">
        <v>6</v>
      </c>
      <c r="F33" s="4"/>
      <c r="G33" s="4"/>
      <c r="H33" s="4"/>
      <c r="I33" s="4"/>
      <c r="J33" s="4" t="s">
        <v>12</v>
      </c>
    </row>
    <row r="34" spans="2:10" x14ac:dyDescent="0.3">
      <c r="B34" s="4" t="s">
        <v>11</v>
      </c>
      <c r="C34" s="4" t="s">
        <v>71</v>
      </c>
      <c r="D34" s="4" t="s">
        <v>7</v>
      </c>
      <c r="E34" s="4" t="s">
        <v>13</v>
      </c>
      <c r="F34" s="4"/>
      <c r="G34" s="4"/>
      <c r="H34" s="4"/>
      <c r="I34" s="4"/>
      <c r="J34" s="4" t="s">
        <v>201</v>
      </c>
    </row>
    <row r="35" spans="2:10" x14ac:dyDescent="0.3">
      <c r="B35" s="4" t="s">
        <v>11</v>
      </c>
      <c r="C35" s="4" t="s">
        <v>72</v>
      </c>
      <c r="D35" s="4" t="s">
        <v>7</v>
      </c>
      <c r="E35" s="4" t="s">
        <v>13</v>
      </c>
      <c r="F35" s="4"/>
      <c r="G35" s="4"/>
      <c r="H35" s="4"/>
      <c r="I35" s="4"/>
      <c r="J35" s="4" t="s">
        <v>201</v>
      </c>
    </row>
    <row r="36" spans="2:10" ht="28.8" x14ac:dyDescent="0.3">
      <c r="B36" s="4" t="s">
        <v>73</v>
      </c>
      <c r="C36" s="4"/>
      <c r="D36" s="4"/>
      <c r="E36" s="4"/>
      <c r="F36" s="4"/>
      <c r="G36" s="4"/>
      <c r="H36" s="4"/>
      <c r="I36" s="4"/>
      <c r="J36" s="4" t="s">
        <v>201</v>
      </c>
    </row>
    <row r="37" spans="2:10" ht="28.8" x14ac:dyDescent="0.3">
      <c r="B37" s="4" t="s">
        <v>14</v>
      </c>
      <c r="C37" s="4" t="s">
        <v>74</v>
      </c>
      <c r="D37" s="4" t="s">
        <v>7</v>
      </c>
      <c r="E37" s="4" t="s">
        <v>17</v>
      </c>
      <c r="F37" s="4"/>
      <c r="G37" s="4"/>
      <c r="H37" s="4"/>
      <c r="I37" s="4"/>
      <c r="J37" s="4" t="s">
        <v>208</v>
      </c>
    </row>
    <row r="38" spans="2:10" x14ac:dyDescent="0.3">
      <c r="B38" s="4" t="s">
        <v>14</v>
      </c>
      <c r="C38" s="4" t="s">
        <v>75</v>
      </c>
      <c r="D38" s="4" t="s">
        <v>7</v>
      </c>
      <c r="E38" s="4" t="s">
        <v>15</v>
      </c>
      <c r="F38" s="4"/>
      <c r="G38" s="4"/>
      <c r="H38" s="4"/>
      <c r="I38" s="4"/>
      <c r="J38" s="4" t="s">
        <v>209</v>
      </c>
    </row>
    <row r="39" spans="2:10" x14ac:dyDescent="0.3">
      <c r="B39" s="4" t="s">
        <v>14</v>
      </c>
      <c r="C39" s="4" t="s">
        <v>76</v>
      </c>
      <c r="D39" s="4" t="s">
        <v>10</v>
      </c>
      <c r="E39" s="4" t="s">
        <v>17</v>
      </c>
      <c r="F39" s="4"/>
      <c r="G39" s="4"/>
      <c r="H39" s="4"/>
      <c r="I39" s="4"/>
      <c r="J39" s="4" t="s">
        <v>210</v>
      </c>
    </row>
    <row r="40" spans="2:10" x14ac:dyDescent="0.3">
      <c r="B40" s="4" t="s">
        <v>14</v>
      </c>
      <c r="C40" s="4" t="s">
        <v>77</v>
      </c>
      <c r="D40" s="4" t="s">
        <v>10</v>
      </c>
      <c r="E40" s="4" t="s">
        <v>17</v>
      </c>
      <c r="F40" s="4"/>
      <c r="G40" s="4"/>
      <c r="H40" s="4"/>
      <c r="I40" s="4"/>
      <c r="J40" s="4" t="s">
        <v>12</v>
      </c>
    </row>
    <row r="41" spans="2:10" ht="28.8" x14ac:dyDescent="0.3">
      <c r="B41" s="4" t="s">
        <v>14</v>
      </c>
      <c r="C41" s="4" t="s">
        <v>78</v>
      </c>
      <c r="D41" s="4" t="s">
        <v>10</v>
      </c>
      <c r="E41" s="4" t="s">
        <v>16</v>
      </c>
      <c r="F41" s="4"/>
      <c r="G41" s="4"/>
      <c r="H41" s="4"/>
      <c r="I41" s="4"/>
      <c r="J41" s="4" t="s">
        <v>12</v>
      </c>
    </row>
    <row r="42" spans="2:10" x14ac:dyDescent="0.3">
      <c r="B42" s="4" t="s">
        <v>14</v>
      </c>
      <c r="C42" s="4" t="s">
        <v>79</v>
      </c>
      <c r="D42" s="4" t="s">
        <v>10</v>
      </c>
      <c r="E42" s="4" t="s">
        <v>16</v>
      </c>
      <c r="F42" s="4"/>
      <c r="G42" s="4"/>
      <c r="H42" s="4"/>
      <c r="I42" s="4"/>
      <c r="J42" s="4" t="s">
        <v>12</v>
      </c>
    </row>
    <row r="43" spans="2:10" ht="28.8" x14ac:dyDescent="0.3">
      <c r="B43" s="4" t="s">
        <v>14</v>
      </c>
      <c r="C43" s="4" t="s">
        <v>80</v>
      </c>
      <c r="D43" s="4" t="s">
        <v>7</v>
      </c>
      <c r="E43" s="4" t="s">
        <v>16</v>
      </c>
      <c r="F43" s="4"/>
      <c r="G43" s="4"/>
      <c r="H43" s="4"/>
      <c r="I43" s="4"/>
      <c r="J43" s="4" t="s">
        <v>12</v>
      </c>
    </row>
    <row r="44" spans="2:10" x14ac:dyDescent="0.3">
      <c r="B44" s="4" t="s">
        <v>14</v>
      </c>
      <c r="C44" s="4" t="s">
        <v>81</v>
      </c>
      <c r="D44" s="4" t="s">
        <v>7</v>
      </c>
      <c r="E44" s="4" t="s">
        <v>16</v>
      </c>
      <c r="F44" s="4"/>
      <c r="G44" s="4"/>
      <c r="H44" s="4"/>
      <c r="I44" s="4"/>
      <c r="J44" s="4" t="s">
        <v>12</v>
      </c>
    </row>
    <row r="45" spans="2:10" ht="28.8" x14ac:dyDescent="0.3">
      <c r="B45" s="11" t="s">
        <v>82</v>
      </c>
      <c r="C45" s="12"/>
      <c r="D45" s="12"/>
      <c r="E45" s="12"/>
      <c r="F45" s="12"/>
      <c r="G45" s="12"/>
      <c r="H45" s="12"/>
      <c r="I45" s="12"/>
      <c r="J45" s="12"/>
    </row>
    <row r="46" spans="2:10" x14ac:dyDescent="0.3">
      <c r="B46" s="4" t="s">
        <v>17</v>
      </c>
      <c r="C46" s="4" t="s">
        <v>83</v>
      </c>
      <c r="D46" s="4" t="s">
        <v>10</v>
      </c>
      <c r="E46" s="4" t="s">
        <v>17</v>
      </c>
      <c r="F46" s="4"/>
      <c r="G46" s="4"/>
      <c r="H46" s="4"/>
      <c r="I46" s="4"/>
      <c r="J46" s="4" t="s">
        <v>210</v>
      </c>
    </row>
    <row r="47" spans="2:10" x14ac:dyDescent="0.3">
      <c r="B47" s="4" t="s">
        <v>17</v>
      </c>
      <c r="C47" s="4" t="s">
        <v>84</v>
      </c>
      <c r="D47" s="4" t="s">
        <v>85</v>
      </c>
      <c r="E47" s="4" t="s">
        <v>17</v>
      </c>
      <c r="F47" s="4"/>
      <c r="G47" s="4"/>
      <c r="H47" s="4"/>
      <c r="I47" s="4"/>
      <c r="J47" s="4" t="s">
        <v>210</v>
      </c>
    </row>
    <row r="48" spans="2:10" ht="28.8" x14ac:dyDescent="0.3">
      <c r="B48" s="4" t="s">
        <v>17</v>
      </c>
      <c r="C48" s="4" t="s">
        <v>86</v>
      </c>
      <c r="D48" s="4" t="s">
        <v>40</v>
      </c>
      <c r="E48" s="4" t="s">
        <v>17</v>
      </c>
      <c r="F48" s="4"/>
      <c r="G48" s="4"/>
      <c r="H48" s="4"/>
      <c r="I48" s="4"/>
      <c r="J48" s="4" t="s">
        <v>210</v>
      </c>
    </row>
    <row r="49" spans="2:10" x14ac:dyDescent="0.3">
      <c r="B49" s="4" t="s">
        <v>17</v>
      </c>
      <c r="C49" s="4" t="s">
        <v>87</v>
      </c>
      <c r="D49" s="4" t="s">
        <v>88</v>
      </c>
      <c r="E49" s="4" t="s">
        <v>17</v>
      </c>
      <c r="F49" s="4"/>
      <c r="G49" s="4"/>
      <c r="H49" s="4"/>
      <c r="I49" s="4"/>
      <c r="J49" s="4" t="s">
        <v>210</v>
      </c>
    </row>
    <row r="50" spans="2:10" ht="28.8" x14ac:dyDescent="0.3">
      <c r="B50" s="4" t="s">
        <v>17</v>
      </c>
      <c r="C50" s="4" t="s">
        <v>89</v>
      </c>
      <c r="D50" s="4" t="s">
        <v>40</v>
      </c>
      <c r="E50" s="4" t="s">
        <v>17</v>
      </c>
      <c r="F50" s="4"/>
      <c r="G50" s="4"/>
      <c r="H50" s="4"/>
      <c r="I50" s="4"/>
      <c r="J50" s="4" t="s">
        <v>210</v>
      </c>
    </row>
    <row r="51" spans="2:10" x14ac:dyDescent="0.3">
      <c r="B51" s="4" t="s">
        <v>17</v>
      </c>
      <c r="C51" s="4" t="s">
        <v>90</v>
      </c>
      <c r="D51" s="4" t="s">
        <v>40</v>
      </c>
      <c r="E51" s="4" t="s">
        <v>17</v>
      </c>
      <c r="F51" s="4"/>
      <c r="G51" s="4"/>
      <c r="H51" s="4"/>
      <c r="I51" s="4"/>
      <c r="J51" s="4" t="s">
        <v>211</v>
      </c>
    </row>
    <row r="52" spans="2:10" x14ac:dyDescent="0.3">
      <c r="B52" s="11" t="s">
        <v>91</v>
      </c>
      <c r="C52" s="12"/>
      <c r="D52" s="12"/>
      <c r="E52" s="12"/>
      <c r="F52" s="12"/>
      <c r="G52" s="12"/>
      <c r="H52" s="12"/>
      <c r="I52" s="12"/>
      <c r="J52" s="12"/>
    </row>
    <row r="53" spans="2:10" ht="28.8" x14ac:dyDescent="0.3">
      <c r="B53" s="4" t="s">
        <v>18</v>
      </c>
      <c r="C53" s="4" t="s">
        <v>92</v>
      </c>
      <c r="D53" s="4" t="s">
        <v>19</v>
      </c>
      <c r="E53" s="4" t="s">
        <v>93</v>
      </c>
      <c r="F53" s="4"/>
      <c r="G53" s="4"/>
      <c r="H53" s="4"/>
      <c r="I53" s="4"/>
      <c r="J53" s="4" t="s">
        <v>207</v>
      </c>
    </row>
    <row r="54" spans="2:10" ht="28.8" x14ac:dyDescent="0.3">
      <c r="B54" s="4" t="s">
        <v>18</v>
      </c>
      <c r="C54" s="4" t="s">
        <v>94</v>
      </c>
      <c r="D54" s="4" t="s">
        <v>19</v>
      </c>
      <c r="E54" s="4" t="s">
        <v>93</v>
      </c>
      <c r="F54" s="4"/>
      <c r="G54" s="4"/>
      <c r="H54" s="4"/>
      <c r="I54" s="4"/>
      <c r="J54" s="4" t="s">
        <v>212</v>
      </c>
    </row>
    <row r="55" spans="2:10" x14ac:dyDescent="0.3">
      <c r="B55" s="4" t="s">
        <v>18</v>
      </c>
      <c r="C55" s="4" t="s">
        <v>95</v>
      </c>
      <c r="D55" s="4" t="s">
        <v>19</v>
      </c>
      <c r="E55" s="4" t="s">
        <v>18</v>
      </c>
      <c r="F55" s="4"/>
      <c r="G55" s="4"/>
      <c r="H55" s="4"/>
      <c r="I55" s="4"/>
      <c r="J55" s="4" t="s">
        <v>201</v>
      </c>
    </row>
    <row r="56" spans="2:10" x14ac:dyDescent="0.3">
      <c r="B56" s="4" t="s">
        <v>18</v>
      </c>
      <c r="C56" s="4" t="s">
        <v>96</v>
      </c>
      <c r="D56" s="4" t="s">
        <v>21</v>
      </c>
      <c r="E56" s="4" t="s">
        <v>97</v>
      </c>
      <c r="F56" s="4"/>
      <c r="G56" s="4"/>
      <c r="H56" s="4"/>
      <c r="I56" s="4"/>
      <c r="J56" s="4" t="s">
        <v>201</v>
      </c>
    </row>
    <row r="57" spans="2:10" x14ac:dyDescent="0.3">
      <c r="B57" s="4" t="s">
        <v>18</v>
      </c>
      <c r="C57" s="4" t="s">
        <v>98</v>
      </c>
      <c r="D57" s="4" t="s">
        <v>21</v>
      </c>
      <c r="E57" s="4" t="s">
        <v>97</v>
      </c>
      <c r="F57" s="4"/>
      <c r="G57" s="4"/>
      <c r="H57" s="4"/>
      <c r="I57" s="4"/>
      <c r="J57" s="4" t="s">
        <v>201</v>
      </c>
    </row>
    <row r="58" spans="2:10" x14ac:dyDescent="0.3">
      <c r="B58" s="4" t="s">
        <v>18</v>
      </c>
      <c r="C58" s="4" t="s">
        <v>99</v>
      </c>
      <c r="D58" s="4" t="s">
        <v>10</v>
      </c>
      <c r="E58" s="4" t="s">
        <v>97</v>
      </c>
      <c r="F58" s="4"/>
      <c r="G58" s="4"/>
      <c r="H58" s="4"/>
      <c r="I58" s="4"/>
      <c r="J58" s="4" t="s">
        <v>201</v>
      </c>
    </row>
    <row r="59" spans="2:10" x14ac:dyDescent="0.3">
      <c r="B59" s="4" t="s">
        <v>18</v>
      </c>
      <c r="C59" s="4" t="s">
        <v>100</v>
      </c>
      <c r="D59" s="4" t="s">
        <v>10</v>
      </c>
      <c r="E59" s="4" t="s">
        <v>97</v>
      </c>
      <c r="F59" s="4"/>
      <c r="G59" s="4"/>
      <c r="H59" s="4"/>
      <c r="I59" s="4"/>
      <c r="J59" s="4" t="s">
        <v>201</v>
      </c>
    </row>
    <row r="60" spans="2:10" x14ac:dyDescent="0.3">
      <c r="B60" s="4" t="s">
        <v>18</v>
      </c>
      <c r="C60" s="4" t="s">
        <v>101</v>
      </c>
      <c r="D60" s="4" t="s">
        <v>10</v>
      </c>
      <c r="E60" s="4" t="s">
        <v>23</v>
      </c>
      <c r="F60" s="4"/>
      <c r="G60" s="4"/>
      <c r="H60" s="4"/>
      <c r="I60" s="4"/>
      <c r="J60" s="4" t="s">
        <v>201</v>
      </c>
    </row>
    <row r="61" spans="2:10" ht="28.8" x14ac:dyDescent="0.3">
      <c r="B61" s="11" t="s">
        <v>102</v>
      </c>
      <c r="C61" s="12"/>
      <c r="D61" s="12"/>
      <c r="E61" s="12"/>
      <c r="F61" s="12"/>
      <c r="G61" s="12"/>
      <c r="H61" s="12"/>
      <c r="I61" s="12"/>
      <c r="J61" s="12"/>
    </row>
    <row r="62" spans="2:10" ht="28.8" x14ac:dyDescent="0.3">
      <c r="B62" s="4" t="s">
        <v>22</v>
      </c>
      <c r="C62" s="4" t="s">
        <v>103</v>
      </c>
      <c r="D62" s="4" t="s">
        <v>7</v>
      </c>
      <c r="E62" s="4" t="s">
        <v>23</v>
      </c>
      <c r="F62" s="4"/>
      <c r="G62" s="4"/>
      <c r="H62" s="4"/>
      <c r="I62" s="4"/>
      <c r="J62" s="4" t="s">
        <v>201</v>
      </c>
    </row>
    <row r="63" spans="2:10" x14ac:dyDescent="0.3">
      <c r="B63" s="4" t="s">
        <v>22</v>
      </c>
      <c r="C63" s="4" t="s">
        <v>104</v>
      </c>
      <c r="D63" s="4" t="s">
        <v>7</v>
      </c>
      <c r="E63" s="4" t="s">
        <v>105</v>
      </c>
      <c r="F63" s="4"/>
      <c r="G63" s="4"/>
      <c r="H63" s="4"/>
      <c r="I63" s="4"/>
      <c r="J63" s="4" t="s">
        <v>201</v>
      </c>
    </row>
    <row r="64" spans="2:10" ht="28.8" x14ac:dyDescent="0.3">
      <c r="B64" s="4" t="s">
        <v>22</v>
      </c>
      <c r="C64" s="4" t="s">
        <v>106</v>
      </c>
      <c r="D64" s="4" t="s">
        <v>7</v>
      </c>
      <c r="E64" s="4" t="s">
        <v>24</v>
      </c>
      <c r="F64" s="4"/>
      <c r="G64" s="4"/>
      <c r="H64" s="4"/>
      <c r="I64" s="4"/>
      <c r="J64" s="4" t="s">
        <v>201</v>
      </c>
    </row>
    <row r="65" spans="2:10" x14ac:dyDescent="0.3">
      <c r="B65" s="4" t="s">
        <v>22</v>
      </c>
      <c r="C65" s="4" t="s">
        <v>107</v>
      </c>
      <c r="D65" s="4" t="s">
        <v>108</v>
      </c>
      <c r="E65" s="4" t="s">
        <v>109</v>
      </c>
      <c r="F65" s="4"/>
      <c r="G65" s="4"/>
      <c r="H65" s="4"/>
      <c r="I65" s="4"/>
      <c r="J65" s="4" t="s">
        <v>201</v>
      </c>
    </row>
    <row r="66" spans="2:10" ht="28.8" x14ac:dyDescent="0.3">
      <c r="B66" s="11" t="s">
        <v>110</v>
      </c>
      <c r="C66" s="12"/>
      <c r="D66" s="12"/>
      <c r="E66" s="12"/>
      <c r="F66" s="12"/>
      <c r="G66" s="12"/>
      <c r="H66" s="12"/>
      <c r="I66" s="12"/>
      <c r="J66" s="12"/>
    </row>
    <row r="67" spans="2:10" x14ac:dyDescent="0.3">
      <c r="B67" s="4" t="s">
        <v>111</v>
      </c>
      <c r="C67" s="4" t="s">
        <v>112</v>
      </c>
      <c r="D67" s="4" t="s">
        <v>40</v>
      </c>
      <c r="E67" s="4" t="s">
        <v>113</v>
      </c>
      <c r="F67" s="4"/>
      <c r="G67" s="4"/>
      <c r="H67" s="4"/>
      <c r="I67" s="4"/>
      <c r="J67" s="4" t="s">
        <v>210</v>
      </c>
    </row>
    <row r="68" spans="2:10" x14ac:dyDescent="0.3">
      <c r="B68" s="4" t="s">
        <v>111</v>
      </c>
      <c r="C68" s="4" t="s">
        <v>114</v>
      </c>
      <c r="D68" s="4" t="s">
        <v>40</v>
      </c>
      <c r="E68" s="4" t="s">
        <v>113</v>
      </c>
      <c r="F68" s="4"/>
      <c r="G68" s="4"/>
      <c r="H68" s="4"/>
      <c r="I68" s="4"/>
      <c r="J68" s="4" t="s">
        <v>201</v>
      </c>
    </row>
    <row r="69" spans="2:10" x14ac:dyDescent="0.3">
      <c r="B69" s="4" t="s">
        <v>111</v>
      </c>
      <c r="C69" s="4" t="s">
        <v>115</v>
      </c>
      <c r="D69" s="4" t="s">
        <v>7</v>
      </c>
      <c r="E69" s="4" t="s">
        <v>113</v>
      </c>
      <c r="F69" s="4"/>
      <c r="G69" s="4"/>
      <c r="H69" s="4"/>
      <c r="I69" s="4"/>
      <c r="J69" s="4" t="s">
        <v>201</v>
      </c>
    </row>
    <row r="70" spans="2:10" x14ac:dyDescent="0.3">
      <c r="B70" s="4" t="s">
        <v>111</v>
      </c>
      <c r="C70" s="4" t="s">
        <v>116</v>
      </c>
      <c r="D70" s="4" t="s">
        <v>5</v>
      </c>
      <c r="E70" s="4" t="s">
        <v>117</v>
      </c>
      <c r="F70" s="4"/>
      <c r="G70" s="4"/>
      <c r="H70" s="4"/>
      <c r="I70" s="4"/>
      <c r="J70" s="4" t="s">
        <v>210</v>
      </c>
    </row>
    <row r="71" spans="2:10" x14ac:dyDescent="0.3">
      <c r="B71" s="4" t="s">
        <v>111</v>
      </c>
      <c r="C71" s="4" t="s">
        <v>118</v>
      </c>
      <c r="D71" s="4" t="s">
        <v>5</v>
      </c>
      <c r="E71" s="4" t="s">
        <v>117</v>
      </c>
      <c r="F71" s="4"/>
      <c r="G71" s="4"/>
      <c r="H71" s="4"/>
      <c r="I71" s="4"/>
      <c r="J71" s="4" t="s">
        <v>210</v>
      </c>
    </row>
    <row r="72" spans="2:10" ht="28.8" x14ac:dyDescent="0.3">
      <c r="B72" s="11" t="s">
        <v>119</v>
      </c>
      <c r="C72" s="12"/>
      <c r="D72" s="12"/>
      <c r="E72" s="12"/>
      <c r="F72" s="12"/>
      <c r="G72" s="12"/>
      <c r="H72" s="12"/>
      <c r="I72" s="12"/>
      <c r="J72" s="12"/>
    </row>
    <row r="73" spans="2:10" ht="28.8" x14ac:dyDescent="0.3">
      <c r="B73" s="4" t="s">
        <v>120</v>
      </c>
      <c r="C73" s="4" t="s">
        <v>121</v>
      </c>
      <c r="D73" s="4" t="s">
        <v>122</v>
      </c>
      <c r="E73" s="4" t="s">
        <v>123</v>
      </c>
      <c r="F73" s="4"/>
      <c r="G73" s="4"/>
      <c r="H73" s="4"/>
      <c r="I73" s="4"/>
      <c r="J73" s="4" t="s">
        <v>201</v>
      </c>
    </row>
    <row r="74" spans="2:10" x14ac:dyDescent="0.3">
      <c r="B74" s="4" t="s">
        <v>120</v>
      </c>
      <c r="C74" s="4" t="s">
        <v>124</v>
      </c>
      <c r="D74" s="4" t="s">
        <v>7</v>
      </c>
      <c r="E74" s="4" t="s">
        <v>123</v>
      </c>
      <c r="F74" s="4"/>
      <c r="G74" s="4"/>
      <c r="H74" s="4"/>
      <c r="I74" s="4"/>
      <c r="J74" s="4" t="s">
        <v>201</v>
      </c>
    </row>
    <row r="75" spans="2:10" x14ac:dyDescent="0.3">
      <c r="B75" s="4" t="s">
        <v>120</v>
      </c>
      <c r="C75" s="4" t="s">
        <v>125</v>
      </c>
      <c r="D75" s="4" t="s">
        <v>19</v>
      </c>
      <c r="E75" s="4" t="s">
        <v>123</v>
      </c>
      <c r="F75" s="4"/>
      <c r="G75" s="4"/>
      <c r="H75" s="4"/>
      <c r="I75" s="4"/>
      <c r="J75" s="4" t="s">
        <v>201</v>
      </c>
    </row>
    <row r="76" spans="2:10" x14ac:dyDescent="0.3">
      <c r="B76" s="4" t="s">
        <v>120</v>
      </c>
      <c r="C76" s="4" t="s">
        <v>126</v>
      </c>
      <c r="D76" s="4" t="s">
        <v>19</v>
      </c>
      <c r="E76" s="4" t="s">
        <v>123</v>
      </c>
      <c r="F76" s="4"/>
      <c r="G76" s="4"/>
      <c r="H76" s="4"/>
      <c r="I76" s="4"/>
      <c r="J76" s="4" t="s">
        <v>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5B40A-BD6E-4B29-9398-B4EF0382C5DE}">
  <dimension ref="A2:I16"/>
  <sheetViews>
    <sheetView tabSelected="1" workbookViewId="0">
      <selection activeCell="E18" sqref="E18"/>
    </sheetView>
  </sheetViews>
  <sheetFormatPr defaultRowHeight="14.4" x14ac:dyDescent="0.3"/>
  <cols>
    <col min="1" max="1" width="8.88671875" style="5"/>
    <col min="2" max="2" width="13" style="5" customWidth="1"/>
    <col min="3" max="3" width="30.33203125" style="5" customWidth="1"/>
    <col min="4" max="4" width="22.21875" style="5" customWidth="1"/>
    <col min="5" max="5" width="16" style="5" bestFit="1" customWidth="1"/>
    <col min="6" max="6" width="13.88671875" style="5" bestFit="1" customWidth="1"/>
    <col min="7" max="7" width="14.33203125" style="5" bestFit="1" customWidth="1"/>
    <col min="8" max="8" width="17.88671875" style="5" bestFit="1" customWidth="1"/>
    <col min="9" max="9" width="21.77734375" style="5" customWidth="1"/>
    <col min="10" max="16384" width="8.88671875" style="5"/>
  </cols>
  <sheetData>
    <row r="2" spans="1:9" ht="28.8" x14ac:dyDescent="0.3">
      <c r="A2" s="10" t="s">
        <v>192</v>
      </c>
      <c r="B2" s="9" t="s">
        <v>3</v>
      </c>
      <c r="C2" s="9" t="s">
        <v>0</v>
      </c>
      <c r="D2" s="9" t="s">
        <v>127</v>
      </c>
      <c r="E2" s="9" t="s">
        <v>128</v>
      </c>
      <c r="F2" s="9" t="s">
        <v>129</v>
      </c>
      <c r="G2" s="9" t="s">
        <v>130</v>
      </c>
      <c r="H2" s="9" t="s">
        <v>131</v>
      </c>
      <c r="I2" s="9" t="s">
        <v>32</v>
      </c>
    </row>
    <row r="3" spans="1:9" x14ac:dyDescent="0.3">
      <c r="A3" s="6">
        <v>1</v>
      </c>
      <c r="B3" s="4" t="s">
        <v>132</v>
      </c>
      <c r="C3" s="4" t="s">
        <v>133</v>
      </c>
      <c r="D3" s="19">
        <v>120000</v>
      </c>
      <c r="E3" s="19">
        <v>120000</v>
      </c>
      <c r="F3" s="4"/>
      <c r="G3" s="4"/>
      <c r="H3" s="4"/>
      <c r="I3" s="4" t="s">
        <v>202</v>
      </c>
    </row>
    <row r="4" spans="1:9" x14ac:dyDescent="0.3">
      <c r="A4" s="6">
        <v>2</v>
      </c>
      <c r="B4" s="4" t="s">
        <v>134</v>
      </c>
      <c r="C4" s="4" t="s">
        <v>135</v>
      </c>
      <c r="D4" s="4" t="s">
        <v>194</v>
      </c>
      <c r="E4" s="19"/>
      <c r="F4" s="4"/>
      <c r="G4" s="4"/>
      <c r="H4" s="4"/>
      <c r="I4" s="4" t="s">
        <v>203</v>
      </c>
    </row>
    <row r="5" spans="1:9" x14ac:dyDescent="0.3">
      <c r="A5" s="6">
        <v>3</v>
      </c>
      <c r="B5" s="4" t="s">
        <v>134</v>
      </c>
      <c r="C5" s="4" t="s">
        <v>136</v>
      </c>
      <c r="D5" s="4" t="s">
        <v>194</v>
      </c>
      <c r="E5" s="19"/>
      <c r="F5" s="4"/>
      <c r="G5" s="4"/>
      <c r="H5" s="4"/>
      <c r="I5" s="4" t="s">
        <v>203</v>
      </c>
    </row>
    <row r="6" spans="1:9" x14ac:dyDescent="0.3">
      <c r="A6" s="6">
        <v>4</v>
      </c>
      <c r="B6" s="4" t="s">
        <v>137</v>
      </c>
      <c r="C6" s="4" t="s">
        <v>138</v>
      </c>
      <c r="D6" s="4"/>
      <c r="E6" s="19"/>
      <c r="F6" s="4"/>
      <c r="G6" s="4"/>
      <c r="H6" s="4"/>
      <c r="I6" s="4" t="s">
        <v>203</v>
      </c>
    </row>
    <row r="7" spans="1:9" x14ac:dyDescent="0.3">
      <c r="A7" s="6">
        <v>5</v>
      </c>
      <c r="B7" s="4" t="s">
        <v>137</v>
      </c>
      <c r="C7" s="4" t="s">
        <v>139</v>
      </c>
      <c r="D7" s="4"/>
      <c r="E7" s="19"/>
      <c r="F7" s="4"/>
      <c r="G7" s="4"/>
      <c r="H7" s="4"/>
      <c r="I7" s="4" t="s">
        <v>203</v>
      </c>
    </row>
    <row r="8" spans="1:9" x14ac:dyDescent="0.3">
      <c r="A8" s="6">
        <v>6</v>
      </c>
      <c r="B8" s="4" t="s">
        <v>20</v>
      </c>
      <c r="C8" s="4" t="s">
        <v>140</v>
      </c>
      <c r="D8" s="4"/>
      <c r="E8" s="19"/>
      <c r="F8" s="4"/>
      <c r="G8" s="4"/>
      <c r="H8" s="4"/>
      <c r="I8" s="4" t="s">
        <v>204</v>
      </c>
    </row>
    <row r="9" spans="1:9" x14ac:dyDescent="0.3">
      <c r="A9" s="6">
        <v>7</v>
      </c>
      <c r="B9" s="4" t="s">
        <v>20</v>
      </c>
      <c r="C9" s="4" t="s">
        <v>141</v>
      </c>
      <c r="D9" s="4"/>
      <c r="E9" s="19"/>
      <c r="F9" s="4"/>
      <c r="G9" s="4"/>
      <c r="H9" s="4"/>
      <c r="I9" s="4" t="s">
        <v>204</v>
      </c>
    </row>
    <row r="10" spans="1:9" x14ac:dyDescent="0.3">
      <c r="A10" s="6">
        <v>8</v>
      </c>
      <c r="B10" s="4" t="s">
        <v>142</v>
      </c>
      <c r="C10" s="4" t="s">
        <v>143</v>
      </c>
      <c r="D10" s="4"/>
      <c r="E10" s="19"/>
      <c r="F10" s="4"/>
      <c r="G10" s="4"/>
      <c r="H10" s="4"/>
      <c r="I10" s="4" t="s">
        <v>205</v>
      </c>
    </row>
    <row r="11" spans="1:9" x14ac:dyDescent="0.3">
      <c r="A11" s="6">
        <v>9</v>
      </c>
      <c r="B11" s="4" t="s">
        <v>142</v>
      </c>
      <c r="C11" s="4" t="s">
        <v>144</v>
      </c>
      <c r="D11" s="4"/>
      <c r="E11" s="19"/>
      <c r="F11" s="4"/>
      <c r="G11" s="4"/>
      <c r="H11" s="4"/>
      <c r="I11" s="4" t="s">
        <v>204</v>
      </c>
    </row>
    <row r="12" spans="1:9" x14ac:dyDescent="0.3">
      <c r="A12" s="6">
        <v>10</v>
      </c>
      <c r="B12" s="4" t="s">
        <v>145</v>
      </c>
      <c r="C12" s="4" t="s">
        <v>146</v>
      </c>
      <c r="D12" s="4"/>
      <c r="E12" s="19"/>
      <c r="F12" s="4"/>
      <c r="G12" s="4"/>
      <c r="H12" s="4"/>
      <c r="I12" s="4" t="s">
        <v>206</v>
      </c>
    </row>
    <row r="13" spans="1:9" x14ac:dyDescent="0.3">
      <c r="A13" s="6">
        <v>11</v>
      </c>
      <c r="B13" s="4" t="s">
        <v>145</v>
      </c>
      <c r="C13" s="4" t="s">
        <v>147</v>
      </c>
      <c r="D13" s="4"/>
      <c r="E13" s="19"/>
      <c r="F13" s="4"/>
      <c r="G13" s="4"/>
      <c r="H13" s="4"/>
      <c r="I13" s="4" t="s">
        <v>204</v>
      </c>
    </row>
    <row r="14" spans="1:9" x14ac:dyDescent="0.3">
      <c r="A14" s="6">
        <v>12</v>
      </c>
      <c r="B14" s="4" t="s">
        <v>148</v>
      </c>
      <c r="C14" s="4" t="s">
        <v>149</v>
      </c>
      <c r="D14" s="4"/>
      <c r="E14" s="19"/>
      <c r="F14" s="4"/>
      <c r="G14" s="4"/>
      <c r="H14" s="4"/>
      <c r="I14" s="4" t="s">
        <v>204</v>
      </c>
    </row>
    <row r="15" spans="1:9" ht="28.8" x14ac:dyDescent="0.3">
      <c r="A15" s="6">
        <v>13</v>
      </c>
      <c r="B15" s="4" t="s">
        <v>150</v>
      </c>
      <c r="C15" s="4" t="s">
        <v>151</v>
      </c>
      <c r="D15" s="4"/>
      <c r="E15" s="19">
        <v>20000</v>
      </c>
      <c r="F15" s="4"/>
      <c r="G15" s="4"/>
      <c r="H15" s="4" t="s">
        <v>214</v>
      </c>
      <c r="I15" s="4" t="s">
        <v>213</v>
      </c>
    </row>
    <row r="16" spans="1:9" x14ac:dyDescent="0.3">
      <c r="A16" s="13"/>
      <c r="B16" s="14" t="s">
        <v>152</v>
      </c>
      <c r="C16" s="15"/>
      <c r="D16" s="15"/>
      <c r="E16" s="14">
        <f>SUM(E3:E15)</f>
        <v>140000</v>
      </c>
      <c r="F16" s="15"/>
      <c r="G16" s="15"/>
      <c r="H16" s="15"/>
      <c r="I16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1FB9D-A3EB-4CC2-B109-93CA759C5077}">
  <dimension ref="B2:L14"/>
  <sheetViews>
    <sheetView topLeftCell="C1" workbookViewId="0">
      <selection activeCell="F20" sqref="F20"/>
    </sheetView>
  </sheetViews>
  <sheetFormatPr defaultRowHeight="14.4" x14ac:dyDescent="0.3"/>
  <cols>
    <col min="2" max="2" width="5.44140625" customWidth="1"/>
    <col min="3" max="3" width="30.21875" customWidth="1"/>
    <col min="4" max="4" width="13.77734375" customWidth="1"/>
    <col min="5" max="5" width="32" customWidth="1"/>
    <col min="6" max="6" width="34.33203125" customWidth="1"/>
    <col min="7" max="7" width="28.88671875" customWidth="1"/>
    <col min="10" max="10" width="14.5546875" customWidth="1"/>
    <col min="11" max="11" width="18.21875" customWidth="1"/>
    <col min="12" max="12" width="13.6640625" customWidth="1"/>
  </cols>
  <sheetData>
    <row r="2" spans="2:12" ht="28.8" x14ac:dyDescent="0.3">
      <c r="B2" s="9" t="s">
        <v>153</v>
      </c>
      <c r="C2" s="9" t="s">
        <v>154</v>
      </c>
      <c r="D2" s="9" t="s">
        <v>1</v>
      </c>
      <c r="E2" s="9" t="s">
        <v>155</v>
      </c>
      <c r="F2" s="9" t="s">
        <v>156</v>
      </c>
      <c r="G2" s="9" t="s">
        <v>157</v>
      </c>
      <c r="H2" s="9" t="s">
        <v>158</v>
      </c>
      <c r="I2" s="9" t="s">
        <v>159</v>
      </c>
      <c r="J2" s="9" t="s">
        <v>160</v>
      </c>
      <c r="K2" s="9" t="s">
        <v>161</v>
      </c>
      <c r="L2" s="9" t="s">
        <v>32</v>
      </c>
    </row>
    <row r="3" spans="2:12" x14ac:dyDescent="0.3">
      <c r="B3" s="4">
        <v>1</v>
      </c>
      <c r="C3" s="4" t="s">
        <v>195</v>
      </c>
      <c r="D3" s="4">
        <v>13</v>
      </c>
      <c r="E3" s="4"/>
      <c r="F3" s="4" t="s">
        <v>2</v>
      </c>
      <c r="G3" s="4" t="s">
        <v>162</v>
      </c>
      <c r="H3" s="4" t="s">
        <v>199</v>
      </c>
      <c r="I3" s="4" t="s">
        <v>199</v>
      </c>
      <c r="J3" s="4" t="s">
        <v>199</v>
      </c>
      <c r="K3" s="4"/>
      <c r="L3" s="4" t="s">
        <v>200</v>
      </c>
    </row>
    <row r="4" spans="2:12" x14ac:dyDescent="0.3">
      <c r="B4" s="4">
        <v>2</v>
      </c>
      <c r="C4" s="4" t="s">
        <v>163</v>
      </c>
      <c r="D4" s="4">
        <v>5</v>
      </c>
      <c r="E4" s="4" t="s">
        <v>196</v>
      </c>
      <c r="F4" s="4" t="s">
        <v>2</v>
      </c>
      <c r="G4" s="4" t="s">
        <v>162</v>
      </c>
      <c r="H4" s="4" t="s">
        <v>199</v>
      </c>
      <c r="I4" s="4" t="s">
        <v>199</v>
      </c>
      <c r="J4" s="4" t="s">
        <v>199</v>
      </c>
      <c r="K4" s="4"/>
      <c r="L4" s="4" t="s">
        <v>200</v>
      </c>
    </row>
    <row r="5" spans="2:12" x14ac:dyDescent="0.3">
      <c r="B5" s="4">
        <v>3</v>
      </c>
      <c r="C5" s="4" t="s">
        <v>164</v>
      </c>
      <c r="D5" s="4">
        <v>1</v>
      </c>
      <c r="E5" s="4" t="s">
        <v>196</v>
      </c>
      <c r="F5" s="4" t="s">
        <v>2</v>
      </c>
      <c r="G5" s="4" t="s">
        <v>162</v>
      </c>
      <c r="H5" s="4" t="s">
        <v>199</v>
      </c>
      <c r="I5" s="4" t="s">
        <v>199</v>
      </c>
      <c r="J5" s="4" t="s">
        <v>199</v>
      </c>
      <c r="K5" s="4"/>
      <c r="L5" s="4" t="s">
        <v>200</v>
      </c>
    </row>
    <row r="6" spans="2:12" x14ac:dyDescent="0.3">
      <c r="B6" s="4">
        <v>4</v>
      </c>
      <c r="C6" s="4" t="s">
        <v>165</v>
      </c>
      <c r="D6" s="4">
        <v>0</v>
      </c>
      <c r="E6" s="4"/>
      <c r="F6" s="4" t="s">
        <v>2</v>
      </c>
      <c r="G6" s="4" t="s">
        <v>162</v>
      </c>
      <c r="H6" s="4" t="s">
        <v>199</v>
      </c>
      <c r="I6" s="4" t="s">
        <v>199</v>
      </c>
      <c r="J6" s="4" t="s">
        <v>199</v>
      </c>
      <c r="K6" s="4"/>
      <c r="L6" s="4" t="s">
        <v>200</v>
      </c>
    </row>
    <row r="7" spans="2:12" x14ac:dyDescent="0.3">
      <c r="B7" s="4">
        <v>5</v>
      </c>
      <c r="C7" s="4" t="s">
        <v>166</v>
      </c>
      <c r="D7" s="4">
        <v>30</v>
      </c>
      <c r="E7" s="4" t="s">
        <v>196</v>
      </c>
      <c r="F7" s="4" t="s">
        <v>2</v>
      </c>
      <c r="G7" s="4" t="s">
        <v>167</v>
      </c>
      <c r="H7" s="4" t="s">
        <v>199</v>
      </c>
      <c r="I7" s="4" t="s">
        <v>199</v>
      </c>
      <c r="J7" s="4" t="s">
        <v>199</v>
      </c>
      <c r="K7" s="4"/>
      <c r="L7" s="4" t="s">
        <v>200</v>
      </c>
    </row>
    <row r="8" spans="2:12" x14ac:dyDescent="0.3">
      <c r="B8" s="4">
        <v>6</v>
      </c>
      <c r="C8" s="4" t="s">
        <v>168</v>
      </c>
      <c r="D8" s="4">
        <v>9</v>
      </c>
      <c r="E8" s="4" t="s">
        <v>196</v>
      </c>
      <c r="F8" s="4" t="s">
        <v>2</v>
      </c>
      <c r="G8" s="4" t="s">
        <v>169</v>
      </c>
      <c r="H8" s="4" t="s">
        <v>199</v>
      </c>
      <c r="I8" s="4" t="s">
        <v>199</v>
      </c>
      <c r="J8" s="4" t="s">
        <v>199</v>
      </c>
      <c r="K8" s="4"/>
      <c r="L8" s="4" t="s">
        <v>200</v>
      </c>
    </row>
    <row r="9" spans="2:12" x14ac:dyDescent="0.3">
      <c r="B9" s="4">
        <v>7</v>
      </c>
      <c r="C9" s="4" t="s">
        <v>170</v>
      </c>
      <c r="D9" s="4">
        <v>1</v>
      </c>
      <c r="E9" s="4" t="s">
        <v>196</v>
      </c>
      <c r="F9" s="4" t="s">
        <v>2</v>
      </c>
      <c r="G9" s="4" t="s">
        <v>169</v>
      </c>
      <c r="H9" s="4" t="s">
        <v>199</v>
      </c>
      <c r="I9" s="4" t="s">
        <v>199</v>
      </c>
      <c r="J9" s="4" t="s">
        <v>199</v>
      </c>
      <c r="K9" s="4"/>
      <c r="L9" s="4" t="s">
        <v>200</v>
      </c>
    </row>
    <row r="10" spans="2:12" x14ac:dyDescent="0.3">
      <c r="B10" s="4">
        <v>8</v>
      </c>
      <c r="C10" s="4" t="s">
        <v>171</v>
      </c>
      <c r="D10" s="4">
        <v>1</v>
      </c>
      <c r="E10" s="4" t="s">
        <v>196</v>
      </c>
      <c r="F10" s="4" t="s">
        <v>2</v>
      </c>
      <c r="G10" s="4" t="s">
        <v>162</v>
      </c>
      <c r="H10" s="4" t="s">
        <v>199</v>
      </c>
      <c r="I10" s="4" t="s">
        <v>199</v>
      </c>
      <c r="J10" s="4" t="s">
        <v>199</v>
      </c>
      <c r="K10" s="4"/>
      <c r="L10" s="4" t="s">
        <v>200</v>
      </c>
    </row>
    <row r="11" spans="2:12" x14ac:dyDescent="0.3">
      <c r="B11" s="4">
        <v>9</v>
      </c>
      <c r="C11" s="4" t="s">
        <v>172</v>
      </c>
      <c r="D11" s="4">
        <v>1</v>
      </c>
      <c r="E11" s="4" t="s">
        <v>196</v>
      </c>
      <c r="F11" s="4" t="s">
        <v>2</v>
      </c>
      <c r="G11" s="4" t="s">
        <v>162</v>
      </c>
      <c r="H11" s="4" t="s">
        <v>199</v>
      </c>
      <c r="I11" s="4" t="s">
        <v>199</v>
      </c>
      <c r="J11" s="4" t="s">
        <v>199</v>
      </c>
      <c r="K11" s="4"/>
      <c r="L11" s="4" t="s">
        <v>200</v>
      </c>
    </row>
    <row r="12" spans="2:12" x14ac:dyDescent="0.3">
      <c r="B12" s="4">
        <v>10</v>
      </c>
      <c r="C12" s="4" t="s">
        <v>173</v>
      </c>
      <c r="D12" s="4">
        <v>1</v>
      </c>
      <c r="E12" s="4" t="s">
        <v>196</v>
      </c>
      <c r="F12" s="4" t="s">
        <v>2</v>
      </c>
      <c r="G12" s="4" t="s">
        <v>162</v>
      </c>
      <c r="H12" s="4" t="s">
        <v>199</v>
      </c>
      <c r="I12" s="4" t="s">
        <v>199</v>
      </c>
      <c r="J12" s="4" t="s">
        <v>199</v>
      </c>
      <c r="K12" s="4"/>
      <c r="L12" s="4" t="s">
        <v>200</v>
      </c>
    </row>
    <row r="13" spans="2:12" x14ac:dyDescent="0.3">
      <c r="B13" s="4">
        <v>11</v>
      </c>
      <c r="C13" s="4" t="s">
        <v>197</v>
      </c>
      <c r="D13" s="6" t="s">
        <v>198</v>
      </c>
      <c r="E13" s="6" t="s">
        <v>196</v>
      </c>
      <c r="F13" s="4" t="s">
        <v>2</v>
      </c>
      <c r="G13" s="4" t="s">
        <v>162</v>
      </c>
      <c r="H13" s="4" t="s">
        <v>199</v>
      </c>
      <c r="I13" s="4" t="s">
        <v>199</v>
      </c>
      <c r="J13" s="4" t="s">
        <v>199</v>
      </c>
      <c r="K13" s="6"/>
      <c r="L13" s="4" t="s">
        <v>200</v>
      </c>
    </row>
    <row r="14" spans="2:12" x14ac:dyDescent="0.3">
      <c r="B14" s="4">
        <v>12</v>
      </c>
      <c r="C14" s="4" t="s">
        <v>193</v>
      </c>
      <c r="D14" s="16">
        <v>21</v>
      </c>
      <c r="E14" s="16" t="s">
        <v>196</v>
      </c>
      <c r="F14" s="16" t="s">
        <v>2</v>
      </c>
      <c r="G14" s="16" t="s">
        <v>162</v>
      </c>
      <c r="H14" s="4" t="s">
        <v>199</v>
      </c>
      <c r="I14" s="4" t="s">
        <v>199</v>
      </c>
      <c r="J14" s="4" t="s">
        <v>199</v>
      </c>
      <c r="K14" s="16"/>
      <c r="L14" s="4" t="s">
        <v>200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D9F5B-8BD6-4594-B2E2-D205F92C254D}">
  <dimension ref="B2:E18"/>
  <sheetViews>
    <sheetView workbookViewId="0">
      <selection activeCell="E22" sqref="E22"/>
    </sheetView>
  </sheetViews>
  <sheetFormatPr defaultRowHeight="14.4" x14ac:dyDescent="0.3"/>
  <cols>
    <col min="2" max="2" width="25.21875" customWidth="1"/>
    <col min="3" max="3" width="14.21875" customWidth="1"/>
    <col min="4" max="4" width="12.21875" customWidth="1"/>
    <col min="5" max="5" width="15.6640625" customWidth="1"/>
  </cols>
  <sheetData>
    <row r="2" spans="2:5" x14ac:dyDescent="0.3">
      <c r="B2" s="8" t="s">
        <v>174</v>
      </c>
      <c r="C2" s="8" t="s">
        <v>175</v>
      </c>
      <c r="D2" s="8" t="s">
        <v>176</v>
      </c>
      <c r="E2" s="8" t="s">
        <v>177</v>
      </c>
    </row>
    <row r="3" spans="2:5" x14ac:dyDescent="0.3">
      <c r="B3" s="4" t="s">
        <v>178</v>
      </c>
      <c r="C3" s="4">
        <v>60</v>
      </c>
      <c r="D3" s="4">
        <v>60</v>
      </c>
      <c r="E3" s="7">
        <v>0</v>
      </c>
    </row>
    <row r="4" spans="2:5" x14ac:dyDescent="0.3">
      <c r="B4" s="4" t="s">
        <v>179</v>
      </c>
      <c r="C4" s="4">
        <v>1</v>
      </c>
      <c r="D4" s="4">
        <v>60</v>
      </c>
      <c r="E4" s="7">
        <v>0.02</v>
      </c>
    </row>
    <row r="5" spans="2:5" x14ac:dyDescent="0.3">
      <c r="B5" s="4" t="s">
        <v>180</v>
      </c>
      <c r="C5" s="4">
        <v>59</v>
      </c>
      <c r="D5" s="4" t="s">
        <v>181</v>
      </c>
      <c r="E5" s="4" t="s">
        <v>181</v>
      </c>
    </row>
    <row r="6" spans="2:5" x14ac:dyDescent="0.3">
      <c r="B6" s="4" t="s">
        <v>182</v>
      </c>
      <c r="C6" s="4"/>
      <c r="D6" s="4"/>
      <c r="E6" s="4"/>
    </row>
    <row r="7" spans="2:5" x14ac:dyDescent="0.3">
      <c r="B7" s="4" t="s">
        <v>183</v>
      </c>
      <c r="C7" s="4"/>
      <c r="D7" s="4"/>
      <c r="E7" s="7"/>
    </row>
    <row r="8" spans="2:5" x14ac:dyDescent="0.3">
      <c r="B8" s="4" t="s">
        <v>184</v>
      </c>
      <c r="C8" s="4"/>
      <c r="D8" s="4"/>
      <c r="E8" s="4"/>
    </row>
    <row r="9" spans="2:5" x14ac:dyDescent="0.3">
      <c r="B9" s="4" t="s">
        <v>185</v>
      </c>
      <c r="C9" s="4">
        <v>2</v>
      </c>
      <c r="D9" s="4">
        <v>2</v>
      </c>
      <c r="E9" s="7">
        <v>0</v>
      </c>
    </row>
    <row r="13" spans="2:5" x14ac:dyDescent="0.3">
      <c r="B13" s="18" t="s">
        <v>186</v>
      </c>
      <c r="C13" s="18"/>
      <c r="D13" s="18"/>
    </row>
    <row r="14" spans="2:5" x14ac:dyDescent="0.3">
      <c r="B14" s="1" t="s">
        <v>187</v>
      </c>
      <c r="C14" s="2"/>
      <c r="D14" s="2"/>
    </row>
    <row r="15" spans="2:5" x14ac:dyDescent="0.3">
      <c r="B15" s="1" t="s">
        <v>188</v>
      </c>
      <c r="C15" s="2"/>
      <c r="D15" s="2"/>
    </row>
    <row r="16" spans="2:5" x14ac:dyDescent="0.3">
      <c r="B16" s="1" t="s">
        <v>189</v>
      </c>
      <c r="C16" s="2"/>
      <c r="D16" s="2"/>
    </row>
    <row r="17" spans="2:4" x14ac:dyDescent="0.3">
      <c r="B17" s="1" t="s">
        <v>190</v>
      </c>
      <c r="C17" s="2"/>
      <c r="D17" s="2"/>
    </row>
    <row r="18" spans="2:4" x14ac:dyDescent="0.3">
      <c r="B18" s="1" t="s">
        <v>191</v>
      </c>
      <c r="C18" s="2"/>
      <c r="D18" s="2"/>
    </row>
  </sheetData>
  <mergeCells count="1">
    <mergeCell ref="B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Evaluation_report</vt:lpstr>
      <vt:lpstr>Budget_Tracking</vt:lpstr>
      <vt:lpstr>Inventroy_Tracking</vt:lpstr>
      <vt:lpstr>Summary_Dashboard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Ewoku</dc:creator>
  <cp:lastModifiedBy>Ben Ewoku</cp:lastModifiedBy>
  <dcterms:created xsi:type="dcterms:W3CDTF">2015-06-05T18:17:20Z</dcterms:created>
  <dcterms:modified xsi:type="dcterms:W3CDTF">2026-01-14T14:23:45Z</dcterms:modified>
</cp:coreProperties>
</file>